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rdware\63_Glowing_Polyhedrons\"/>
    </mc:Choice>
  </mc:AlternateContent>
  <xr:revisionPtr revIDLastSave="0" documentId="13_ncr:1_{56211ED9-DF97-4B4F-A6A9-CDCAAB7758C2}" xr6:coauthVersionLast="47" xr6:coauthVersionMax="47" xr10:uidLastSave="{00000000-0000-0000-0000-000000000000}"/>
  <bookViews>
    <workbookView xWindow="-108" yWindow="-108" windowWidth="30936" windowHeight="16776" xr2:uid="{5BF2D058-20B1-4E68-B932-3EECD9DE5D4B}"/>
  </bookViews>
  <sheets>
    <sheet name="Summary" sheetId="1" r:id="rId1"/>
    <sheet name="Eulerian Objects" sheetId="7" r:id="rId2"/>
    <sheet name="Cycle_decomp" sheetId="9" r:id="rId3"/>
    <sheet name="cycle_decomp_unqique" sheetId="10" r:id="rId4"/>
    <sheet name="heart" sheetId="6" r:id="rId5"/>
    <sheet name="Cube two taps" sheetId="2" r:id="rId6"/>
    <sheet name="Octahedron" sheetId="4" r:id="rId7"/>
    <sheet name="Cuboctahedron" sheetId="3" r:id="rId8"/>
  </sheets>
  <definedNames>
    <definedName name="_xlnm._FilterDatabase" localSheetId="2" hidden="1">Cycle_decomp!$A$1:$H$124</definedName>
    <definedName name="_xlnm._FilterDatabase" localSheetId="3" hidden="1">cycle_decomp_unqique!$A$1:$H$124</definedName>
    <definedName name="_xlnm._FilterDatabase" localSheetId="1" hidden="1">'Eulerian Objects'!$A$1:$K$1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24" i="9" l="1"/>
  <c r="M124" i="9"/>
  <c r="L124" i="9"/>
  <c r="K124" i="9"/>
  <c r="J124" i="9"/>
  <c r="N123" i="9"/>
  <c r="M123" i="9"/>
  <c r="L123" i="9"/>
  <c r="K123" i="9"/>
  <c r="J123" i="9"/>
  <c r="N122" i="9"/>
  <c r="M122" i="9"/>
  <c r="L122" i="9"/>
  <c r="K122" i="9"/>
  <c r="J122" i="9"/>
  <c r="N121" i="9"/>
  <c r="M121" i="9"/>
  <c r="L121" i="9"/>
  <c r="K121" i="9"/>
  <c r="J121" i="9"/>
  <c r="N120" i="9"/>
  <c r="M120" i="9"/>
  <c r="L120" i="9"/>
  <c r="K120" i="9"/>
  <c r="J120" i="9"/>
  <c r="N119" i="9"/>
  <c r="M119" i="9"/>
  <c r="L119" i="9"/>
  <c r="K119" i="9"/>
  <c r="J119" i="9"/>
  <c r="N118" i="9"/>
  <c r="M118" i="9"/>
  <c r="L118" i="9"/>
  <c r="K118" i="9"/>
  <c r="J118" i="9"/>
  <c r="N117" i="9"/>
  <c r="M117" i="9"/>
  <c r="L117" i="9"/>
  <c r="K117" i="9"/>
  <c r="J117" i="9"/>
  <c r="N116" i="9"/>
  <c r="M116" i="9"/>
  <c r="L116" i="9"/>
  <c r="K116" i="9"/>
  <c r="J116" i="9"/>
  <c r="N115" i="9"/>
  <c r="M115" i="9"/>
  <c r="L115" i="9"/>
  <c r="K115" i="9"/>
  <c r="J115" i="9"/>
  <c r="N114" i="9"/>
  <c r="M114" i="9"/>
  <c r="L114" i="9"/>
  <c r="K114" i="9"/>
  <c r="J114" i="9"/>
  <c r="N113" i="9"/>
  <c r="M113" i="9"/>
  <c r="L113" i="9"/>
  <c r="K113" i="9"/>
  <c r="J113" i="9"/>
  <c r="N112" i="9"/>
  <c r="M112" i="9"/>
  <c r="L112" i="9"/>
  <c r="K112" i="9"/>
  <c r="J112" i="9"/>
  <c r="N111" i="9"/>
  <c r="M111" i="9"/>
  <c r="L111" i="9"/>
  <c r="K111" i="9"/>
  <c r="J111" i="9"/>
  <c r="N110" i="9"/>
  <c r="M110" i="9"/>
  <c r="L110" i="9"/>
  <c r="K110" i="9"/>
  <c r="J110" i="9"/>
  <c r="N109" i="9"/>
  <c r="M109" i="9"/>
  <c r="L109" i="9"/>
  <c r="K109" i="9"/>
  <c r="J109" i="9"/>
  <c r="N108" i="9"/>
  <c r="M108" i="9"/>
  <c r="L108" i="9"/>
  <c r="K108" i="9"/>
  <c r="J108" i="9"/>
  <c r="N107" i="9"/>
  <c r="M107" i="9"/>
  <c r="L107" i="9"/>
  <c r="K107" i="9"/>
  <c r="J107" i="9"/>
  <c r="N106" i="9"/>
  <c r="M106" i="9"/>
  <c r="L106" i="9"/>
  <c r="K106" i="9"/>
  <c r="J106" i="9"/>
  <c r="N105" i="9"/>
  <c r="M105" i="9"/>
  <c r="L105" i="9"/>
  <c r="K105" i="9"/>
  <c r="J105" i="9"/>
  <c r="N104" i="9"/>
  <c r="M104" i="9"/>
  <c r="L104" i="9"/>
  <c r="K104" i="9"/>
  <c r="J104" i="9"/>
  <c r="N103" i="9"/>
  <c r="M103" i="9"/>
  <c r="L103" i="9"/>
  <c r="K103" i="9"/>
  <c r="J103" i="9"/>
  <c r="N102" i="9"/>
  <c r="M102" i="9"/>
  <c r="L102" i="9"/>
  <c r="K102" i="9"/>
  <c r="J102" i="9"/>
  <c r="N101" i="9"/>
  <c r="M101" i="9"/>
  <c r="L101" i="9"/>
  <c r="K101" i="9"/>
  <c r="J101" i="9"/>
  <c r="N100" i="9"/>
  <c r="M100" i="9"/>
  <c r="L100" i="9"/>
  <c r="K100" i="9"/>
  <c r="J100" i="9"/>
  <c r="N99" i="9"/>
  <c r="M99" i="9"/>
  <c r="L99" i="9"/>
  <c r="K99" i="9"/>
  <c r="J99" i="9"/>
  <c r="N98" i="9"/>
  <c r="M98" i="9"/>
  <c r="L98" i="9"/>
  <c r="K98" i="9"/>
  <c r="J98" i="9"/>
  <c r="N97" i="9"/>
  <c r="M97" i="9"/>
  <c r="L97" i="9"/>
  <c r="K97" i="9"/>
  <c r="J97" i="9"/>
  <c r="N96" i="9"/>
  <c r="M96" i="9"/>
  <c r="L96" i="9"/>
  <c r="K96" i="9"/>
  <c r="J96" i="9"/>
  <c r="N95" i="9"/>
  <c r="M95" i="9"/>
  <c r="L95" i="9"/>
  <c r="K95" i="9"/>
  <c r="J95" i="9"/>
  <c r="N94" i="9"/>
  <c r="M94" i="9"/>
  <c r="L94" i="9"/>
  <c r="K94" i="9"/>
  <c r="J94" i="9"/>
  <c r="N93" i="9"/>
  <c r="M93" i="9"/>
  <c r="L93" i="9"/>
  <c r="K93" i="9"/>
  <c r="J93" i="9"/>
  <c r="N92" i="9"/>
  <c r="M92" i="9"/>
  <c r="L92" i="9"/>
  <c r="K92" i="9"/>
  <c r="J92" i="9"/>
  <c r="N91" i="9"/>
  <c r="M91" i="9"/>
  <c r="L91" i="9"/>
  <c r="K91" i="9"/>
  <c r="J91" i="9"/>
  <c r="N90" i="9"/>
  <c r="M90" i="9"/>
  <c r="L90" i="9"/>
  <c r="K90" i="9"/>
  <c r="J90" i="9"/>
  <c r="N89" i="9"/>
  <c r="M89" i="9"/>
  <c r="L89" i="9"/>
  <c r="K89" i="9"/>
  <c r="J89" i="9"/>
  <c r="N88" i="9"/>
  <c r="M88" i="9"/>
  <c r="L88" i="9"/>
  <c r="K88" i="9"/>
  <c r="J88" i="9"/>
  <c r="N87" i="9"/>
  <c r="M87" i="9"/>
  <c r="L87" i="9"/>
  <c r="K87" i="9"/>
  <c r="J87" i="9"/>
  <c r="N86" i="9"/>
  <c r="M86" i="9"/>
  <c r="L86" i="9"/>
  <c r="K86" i="9"/>
  <c r="J86" i="9"/>
  <c r="N85" i="9"/>
  <c r="M85" i="9"/>
  <c r="L85" i="9"/>
  <c r="K85" i="9"/>
  <c r="J85" i="9"/>
  <c r="N84" i="9"/>
  <c r="M84" i="9"/>
  <c r="L84" i="9"/>
  <c r="K84" i="9"/>
  <c r="J84" i="9"/>
  <c r="N83" i="9"/>
  <c r="M83" i="9"/>
  <c r="L83" i="9"/>
  <c r="K83" i="9"/>
  <c r="J83" i="9"/>
  <c r="N82" i="9"/>
  <c r="M82" i="9"/>
  <c r="L82" i="9"/>
  <c r="K82" i="9"/>
  <c r="J82" i="9"/>
  <c r="N81" i="9"/>
  <c r="M81" i="9"/>
  <c r="L81" i="9"/>
  <c r="K81" i="9"/>
  <c r="J81" i="9"/>
  <c r="N80" i="9"/>
  <c r="M80" i="9"/>
  <c r="L80" i="9"/>
  <c r="K80" i="9"/>
  <c r="J80" i="9"/>
  <c r="N79" i="9"/>
  <c r="M79" i="9"/>
  <c r="L79" i="9"/>
  <c r="K79" i="9"/>
  <c r="J79" i="9"/>
  <c r="N78" i="9"/>
  <c r="M78" i="9"/>
  <c r="L78" i="9"/>
  <c r="K78" i="9"/>
  <c r="J78" i="9"/>
  <c r="N77" i="9"/>
  <c r="M77" i="9"/>
  <c r="L77" i="9"/>
  <c r="K77" i="9"/>
  <c r="J77" i="9"/>
  <c r="N76" i="9"/>
  <c r="M76" i="9"/>
  <c r="L76" i="9"/>
  <c r="K76" i="9"/>
  <c r="J76" i="9"/>
  <c r="N75" i="9"/>
  <c r="M75" i="9"/>
  <c r="L75" i="9"/>
  <c r="K75" i="9"/>
  <c r="J75" i="9"/>
  <c r="N74" i="9"/>
  <c r="M74" i="9"/>
  <c r="L74" i="9"/>
  <c r="K74" i="9"/>
  <c r="J74" i="9"/>
  <c r="N73" i="9"/>
  <c r="M73" i="9"/>
  <c r="L73" i="9"/>
  <c r="K73" i="9"/>
  <c r="J73" i="9"/>
  <c r="N72" i="9"/>
  <c r="M72" i="9"/>
  <c r="L72" i="9"/>
  <c r="K72" i="9"/>
  <c r="J72" i="9"/>
  <c r="N71" i="9"/>
  <c r="M71" i="9"/>
  <c r="L71" i="9"/>
  <c r="K71" i="9"/>
  <c r="J71" i="9"/>
  <c r="N70" i="9"/>
  <c r="M70" i="9"/>
  <c r="L70" i="9"/>
  <c r="K70" i="9"/>
  <c r="J70" i="9"/>
  <c r="N69" i="9"/>
  <c r="M69" i="9"/>
  <c r="L69" i="9"/>
  <c r="K69" i="9"/>
  <c r="J69" i="9"/>
  <c r="N68" i="9"/>
  <c r="M68" i="9"/>
  <c r="L68" i="9"/>
  <c r="K68" i="9"/>
  <c r="J68" i="9"/>
  <c r="N67" i="9"/>
  <c r="M67" i="9"/>
  <c r="L67" i="9"/>
  <c r="K67" i="9"/>
  <c r="J67" i="9"/>
  <c r="N66" i="9"/>
  <c r="M66" i="9"/>
  <c r="L66" i="9"/>
  <c r="K66" i="9"/>
  <c r="J66" i="9"/>
  <c r="N65" i="9"/>
  <c r="M65" i="9"/>
  <c r="L65" i="9"/>
  <c r="K65" i="9"/>
  <c r="J65" i="9"/>
  <c r="N64" i="9"/>
  <c r="M64" i="9"/>
  <c r="L64" i="9"/>
  <c r="K64" i="9"/>
  <c r="J64" i="9"/>
  <c r="N63" i="9"/>
  <c r="M63" i="9"/>
  <c r="L63" i="9"/>
  <c r="K63" i="9"/>
  <c r="J63" i="9"/>
  <c r="N62" i="9"/>
  <c r="M62" i="9"/>
  <c r="L62" i="9"/>
  <c r="K62" i="9"/>
  <c r="J62" i="9"/>
  <c r="N61" i="9"/>
  <c r="M61" i="9"/>
  <c r="L61" i="9"/>
  <c r="K61" i="9"/>
  <c r="J61" i="9"/>
  <c r="N60" i="9"/>
  <c r="M60" i="9"/>
  <c r="L60" i="9"/>
  <c r="K60" i="9"/>
  <c r="J60" i="9"/>
  <c r="N59" i="9"/>
  <c r="M59" i="9"/>
  <c r="L59" i="9"/>
  <c r="K59" i="9"/>
  <c r="J59" i="9"/>
  <c r="N58" i="9"/>
  <c r="M58" i="9"/>
  <c r="L58" i="9"/>
  <c r="K58" i="9"/>
  <c r="J58" i="9"/>
  <c r="N57" i="9"/>
  <c r="M57" i="9"/>
  <c r="L57" i="9"/>
  <c r="K57" i="9"/>
  <c r="J57" i="9"/>
  <c r="N56" i="9"/>
  <c r="M56" i="9"/>
  <c r="L56" i="9"/>
  <c r="K56" i="9"/>
  <c r="J56" i="9"/>
  <c r="N55" i="9"/>
  <c r="M55" i="9"/>
  <c r="L55" i="9"/>
  <c r="K55" i="9"/>
  <c r="J55" i="9"/>
  <c r="N54" i="9"/>
  <c r="M54" i="9"/>
  <c r="L54" i="9"/>
  <c r="K54" i="9"/>
  <c r="J54" i="9"/>
  <c r="N53" i="9"/>
  <c r="M53" i="9"/>
  <c r="L53" i="9"/>
  <c r="K53" i="9"/>
  <c r="J53" i="9"/>
  <c r="N52" i="9"/>
  <c r="M52" i="9"/>
  <c r="L52" i="9"/>
  <c r="K52" i="9"/>
  <c r="J52" i="9"/>
  <c r="N51" i="9"/>
  <c r="M51" i="9"/>
  <c r="L51" i="9"/>
  <c r="K51" i="9"/>
  <c r="J51" i="9"/>
  <c r="N50" i="9"/>
  <c r="M50" i="9"/>
  <c r="L50" i="9"/>
  <c r="K50" i="9"/>
  <c r="J50" i="9"/>
  <c r="N49" i="9"/>
  <c r="M49" i="9"/>
  <c r="L49" i="9"/>
  <c r="K49" i="9"/>
  <c r="J49" i="9"/>
  <c r="N48" i="9"/>
  <c r="M48" i="9"/>
  <c r="L48" i="9"/>
  <c r="K48" i="9"/>
  <c r="J48" i="9"/>
  <c r="N47" i="9"/>
  <c r="M47" i="9"/>
  <c r="L47" i="9"/>
  <c r="K47" i="9"/>
  <c r="J47" i="9"/>
  <c r="N46" i="9"/>
  <c r="M46" i="9"/>
  <c r="L46" i="9"/>
  <c r="K46" i="9"/>
  <c r="J46" i="9"/>
  <c r="N45" i="9"/>
  <c r="M45" i="9"/>
  <c r="L45" i="9"/>
  <c r="K45" i="9"/>
  <c r="J45" i="9"/>
  <c r="N44" i="9"/>
  <c r="M44" i="9"/>
  <c r="L44" i="9"/>
  <c r="K44" i="9"/>
  <c r="J44" i="9"/>
  <c r="N43" i="9"/>
  <c r="M43" i="9"/>
  <c r="L43" i="9"/>
  <c r="K43" i="9"/>
  <c r="J43" i="9"/>
  <c r="N42" i="9"/>
  <c r="M42" i="9"/>
  <c r="L42" i="9"/>
  <c r="K42" i="9"/>
  <c r="J42" i="9"/>
  <c r="N41" i="9"/>
  <c r="M41" i="9"/>
  <c r="L41" i="9"/>
  <c r="K41" i="9"/>
  <c r="J41" i="9"/>
  <c r="N40" i="9"/>
  <c r="M40" i="9"/>
  <c r="L40" i="9"/>
  <c r="K40" i="9"/>
  <c r="J40" i="9"/>
  <c r="N39" i="9"/>
  <c r="M39" i="9"/>
  <c r="L39" i="9"/>
  <c r="K39" i="9"/>
  <c r="J39" i="9"/>
  <c r="N38" i="9"/>
  <c r="M38" i="9"/>
  <c r="L38" i="9"/>
  <c r="K38" i="9"/>
  <c r="J38" i="9"/>
  <c r="N37" i="9"/>
  <c r="M37" i="9"/>
  <c r="L37" i="9"/>
  <c r="K37" i="9"/>
  <c r="J37" i="9"/>
  <c r="N36" i="9"/>
  <c r="M36" i="9"/>
  <c r="L36" i="9"/>
  <c r="K36" i="9"/>
  <c r="J36" i="9"/>
  <c r="N35" i="9"/>
  <c r="M35" i="9"/>
  <c r="L35" i="9"/>
  <c r="K35" i="9"/>
  <c r="J35" i="9"/>
  <c r="N34" i="9"/>
  <c r="M34" i="9"/>
  <c r="L34" i="9"/>
  <c r="K34" i="9"/>
  <c r="J34" i="9"/>
  <c r="N33" i="9"/>
  <c r="M33" i="9"/>
  <c r="L33" i="9"/>
  <c r="K33" i="9"/>
  <c r="J33" i="9"/>
  <c r="N32" i="9"/>
  <c r="M32" i="9"/>
  <c r="L32" i="9"/>
  <c r="K32" i="9"/>
  <c r="J32" i="9"/>
  <c r="N31" i="9"/>
  <c r="M31" i="9"/>
  <c r="L31" i="9"/>
  <c r="K31" i="9"/>
  <c r="J31" i="9"/>
  <c r="N30" i="9"/>
  <c r="M30" i="9"/>
  <c r="L30" i="9"/>
  <c r="K30" i="9"/>
  <c r="J30" i="9"/>
  <c r="N29" i="9"/>
  <c r="M29" i="9"/>
  <c r="L29" i="9"/>
  <c r="K29" i="9"/>
  <c r="J29" i="9"/>
  <c r="N28" i="9"/>
  <c r="M28" i="9"/>
  <c r="L28" i="9"/>
  <c r="K28" i="9"/>
  <c r="J28" i="9"/>
  <c r="N27" i="9"/>
  <c r="M27" i="9"/>
  <c r="L27" i="9"/>
  <c r="K27" i="9"/>
  <c r="J27" i="9"/>
  <c r="N26" i="9"/>
  <c r="M26" i="9"/>
  <c r="L26" i="9"/>
  <c r="K26" i="9"/>
  <c r="J26" i="9"/>
  <c r="N25" i="9"/>
  <c r="M25" i="9"/>
  <c r="L25" i="9"/>
  <c r="K25" i="9"/>
  <c r="J25" i="9"/>
  <c r="N24" i="9"/>
  <c r="M24" i="9"/>
  <c r="L24" i="9"/>
  <c r="K24" i="9"/>
  <c r="J24" i="9"/>
  <c r="N23" i="9"/>
  <c r="M23" i="9"/>
  <c r="L23" i="9"/>
  <c r="K23" i="9"/>
  <c r="J23" i="9"/>
  <c r="N22" i="9"/>
  <c r="M22" i="9"/>
  <c r="L22" i="9"/>
  <c r="K22" i="9"/>
  <c r="J22" i="9"/>
  <c r="N21" i="9"/>
  <c r="M21" i="9"/>
  <c r="L21" i="9"/>
  <c r="K21" i="9"/>
  <c r="J21" i="9"/>
  <c r="N20" i="9"/>
  <c r="M20" i="9"/>
  <c r="L20" i="9"/>
  <c r="K20" i="9"/>
  <c r="J20" i="9"/>
  <c r="N19" i="9"/>
  <c r="M19" i="9"/>
  <c r="L19" i="9"/>
  <c r="K19" i="9"/>
  <c r="J19" i="9"/>
  <c r="N18" i="9"/>
  <c r="M18" i="9"/>
  <c r="L18" i="9"/>
  <c r="K18" i="9"/>
  <c r="J18" i="9"/>
  <c r="N17" i="9"/>
  <c r="M17" i="9"/>
  <c r="L17" i="9"/>
  <c r="K17" i="9"/>
  <c r="J17" i="9"/>
  <c r="N16" i="9"/>
  <c r="M16" i="9"/>
  <c r="L16" i="9"/>
  <c r="K16" i="9"/>
  <c r="J16" i="9"/>
  <c r="N15" i="9"/>
  <c r="M15" i="9"/>
  <c r="L15" i="9"/>
  <c r="K15" i="9"/>
  <c r="J15" i="9"/>
  <c r="N14" i="9"/>
  <c r="M14" i="9"/>
  <c r="L14" i="9"/>
  <c r="K14" i="9"/>
  <c r="J14" i="9"/>
  <c r="N13" i="9"/>
  <c r="M13" i="9"/>
  <c r="L13" i="9"/>
  <c r="K13" i="9"/>
  <c r="J13" i="9"/>
  <c r="N12" i="9"/>
  <c r="M12" i="9"/>
  <c r="L12" i="9"/>
  <c r="K12" i="9"/>
  <c r="J12" i="9"/>
  <c r="N11" i="9"/>
  <c r="M11" i="9"/>
  <c r="L11" i="9"/>
  <c r="K11" i="9"/>
  <c r="J11" i="9"/>
  <c r="N10" i="9"/>
  <c r="M10" i="9"/>
  <c r="L10" i="9"/>
  <c r="K10" i="9"/>
  <c r="J10" i="9"/>
  <c r="N9" i="9"/>
  <c r="M9" i="9"/>
  <c r="L9" i="9"/>
  <c r="K9" i="9"/>
  <c r="J9" i="9"/>
  <c r="N8" i="9"/>
  <c r="M8" i="9"/>
  <c r="L8" i="9"/>
  <c r="K8" i="9"/>
  <c r="J8" i="9"/>
  <c r="N7" i="9"/>
  <c r="M7" i="9"/>
  <c r="L7" i="9"/>
  <c r="K7" i="9"/>
  <c r="J7" i="9"/>
  <c r="N6" i="9"/>
  <c r="M6" i="9"/>
  <c r="L6" i="9"/>
  <c r="K6" i="9"/>
  <c r="J6" i="9"/>
  <c r="N5" i="9"/>
  <c r="M5" i="9"/>
  <c r="L5" i="9"/>
  <c r="K5" i="9"/>
  <c r="J5" i="9"/>
  <c r="N4" i="9"/>
  <c r="M4" i="9"/>
  <c r="L4" i="9"/>
  <c r="K4" i="9"/>
  <c r="J4" i="9"/>
  <c r="N3" i="9"/>
  <c r="M3" i="9"/>
  <c r="L3" i="9"/>
  <c r="K3" i="9"/>
  <c r="J3" i="9"/>
  <c r="N2" i="9"/>
  <c r="M2" i="9"/>
  <c r="L2" i="9"/>
  <c r="K2" i="9"/>
  <c r="J2" i="9"/>
</calcChain>
</file>

<file path=xl/sharedStrings.xml><?xml version="1.0" encoding="utf-8"?>
<sst xmlns="http://schemas.openxmlformats.org/spreadsheetml/2006/main" count="1017" uniqueCount="332">
  <si>
    <t>Cube</t>
  </si>
  <si>
    <t>Tetrahedron</t>
  </si>
  <si>
    <t>-</t>
  </si>
  <si>
    <t>Triangular Prism</t>
  </si>
  <si>
    <t>Octahedron</t>
  </si>
  <si>
    <t>Pentagonal Prism</t>
  </si>
  <si>
    <t>Truncated Tetrahedron</t>
  </si>
  <si>
    <t>Stellated Tetrahedron</t>
  </si>
  <si>
    <t>Hexagonal Prism</t>
  </si>
  <si>
    <t>Cuboctahedron</t>
  </si>
  <si>
    <t>Rhombic Dodecahedron</t>
  </si>
  <si>
    <t>Stellated Triangular Prism</t>
  </si>
  <si>
    <t>Dodecahedron</t>
  </si>
  <si>
    <t>Vertices</t>
  </si>
  <si>
    <t>Edges</t>
  </si>
  <si>
    <t>Icosahedron</t>
  </si>
  <si>
    <t>Stellated Cube</t>
  </si>
  <si>
    <t>Stellated Octahedron</t>
  </si>
  <si>
    <t>L=1</t>
  </si>
  <si>
    <t>Taps for full coverage, equal current</t>
  </si>
  <si>
    <t>=== Cube | L=3: maximize coverage with 2 endpoints ===</t>
  </si>
  <si>
    <t>Fixed endpoints: 2 | Paths: 6 | Edge coverage: 12</t>
  </si>
  <si>
    <t>Endpoint set: {0, 7}</t>
  </si>
  <si>
    <t>Endpoint usage counts: {0: 6, 7: 6}</t>
  </si>
  <si>
    <t xml:space="preserve">  Path 1: vertices [7, 6, 4, 0] | len=3 | edges=[(7, 6), (6, 4), (4, 0)]</t>
  </si>
  <si>
    <t xml:space="preserve">  Path 2: vertices [7, 5, 1, 0] | len=3 | edges=[(7, 5), (5, 1), (1, 0)]</t>
  </si>
  <si>
    <t xml:space="preserve">  Path 3: vertices [7, 3, 2, 0] | len=3 | edges=[(7, 3), (3, 2), (2, 0)]</t>
  </si>
  <si>
    <t xml:space="preserve">  Path 4: vertices [7, 6, 2, 0] | len=3 | edges=[(7, 6), (6, 2), (2, 0)]</t>
  </si>
  <si>
    <t xml:space="preserve">  Path 5: vertices [7, 5, 4, 0] | len=3 | edges=[(7, 5), (5, 4), (4, 0)]</t>
  </si>
  <si>
    <t xml:space="preserve">  Path 6: vertices [7, 3, 1, 0] | len=3 | edges=[(7, 3), (3, 1), (1, 0)]</t>
  </si>
  <si>
    <t>Total edges covered: 18</t>
  </si>
  <si>
    <t>Orientation (directed edges): [(1, 0), (2, 0), (3, 1), (3, 2), (4, 0), (5, 1), (5, 4), (6, 2), (6, 4), (7, 3), (7, 5), (7, 6)]</t>
  </si>
  <si>
    <t>=== Branching Analysis ===</t>
  </si>
  <si>
    <t>Equal current coverage: NO (range 0.167 to 0.333)</t>
  </si>
  <si>
    <t>Edge (7, 6): current=0.333, branches=6, paths=[7,0]</t>
  </si>
  <si>
    <t>Edge (4, 0): current=0.333, branches=6, paths=[7,0]</t>
  </si>
  <si>
    <t>Edge (2, 0): current=0.333, branches=6, paths=[7,0]</t>
  </si>
  <si>
    <t>Edge (7, 5): current=0.333, branches=6, paths=[7,0]</t>
  </si>
  <si>
    <t>Edge (1, 0): current=0.333, branches=6, paths=[7,0]</t>
  </si>
  <si>
    <t>Edge (7, 3): current=0.333, branches=6, paths=[7,0]</t>
  </si>
  <si>
    <t>Edge (6, 4): current=0.167, branches=6, paths=[7,0]</t>
  </si>
  <si>
    <t>Edge (6, 2): current=0.167, branches=6, paths=[7,0]</t>
  </si>
  <si>
    <t>Edge (5, 4): current=0.167, branches=6, paths=[7,0]</t>
  </si>
  <si>
    <t>Edge (5, 1): current=0.167, branches=6, paths=[7,0]</t>
  </si>
  <si>
    <t>Edge (3, 2): current=0.167, branches=6, paths=[7,0]</t>
  </si>
  <si>
    <t>Edge (3, 1): current=0.167, branches=6, paths=[7,0]</t>
  </si>
  <si>
    <t>=== Polarity Analysis ===</t>
  </si>
  <si>
    <t>Vertex 0: Cathode</t>
  </si>
  <si>
    <t>Vertex 7: Anode</t>
  </si>
  <si>
    <t>Design classification: Fully DC (all vertices are either pure Anode or pure Cathode)</t>
  </si>
  <si>
    <t>=== Sneak Path Analysis ===</t>
  </si>
  <si>
    <t>NO SNEAK PATHS: DC bias does not create shorter paths than solver solution</t>
  </si>
  <si>
    <t>All paths maintain minimum length of 3</t>
  </si>
  <si>
    <t>=== Driving Scheme Analysis ===</t>
  </si>
  <si>
    <t>Path 1: 7 -&gt; 6 -&gt; 4 -&gt; 0 | 0=C 7=A</t>
  </si>
  <si>
    <t>Path 2: 7 -&gt; 5 -&gt; 1 -&gt; 0 | 0=C 7=A</t>
  </si>
  <si>
    <t>Path 3: 7 -&gt; 3 -&gt; 2 -&gt; 0 | 0=C 7=A</t>
  </si>
  <si>
    <t>Path 4: 7 -&gt; 6 -&gt; 2 -&gt; 0 | 0=C 7=A</t>
  </si>
  <si>
    <t>Path 5: 7 -&gt; 5 -&gt; 4 -&gt; 0 | 0=C 7=A</t>
  </si>
  <si>
    <t>Path 6: 7 -&gt; 3 -&gt; 1 -&gt; 0 | 0=C 7=A</t>
  </si>
  <si>
    <t>Bipolar driving scheme found</t>
  </si>
  <si>
    <t>=== Cube | L=3: maximize coverage with 2 endpoints (equal current) ===</t>
  </si>
  <si>
    <t>Fixed endpoints: 2 | Paths: 3 | Edge coverage: 9</t>
  </si>
  <si>
    <t>Endpoint usage counts: {0: 3, 7: 3}</t>
  </si>
  <si>
    <t>Total edges covered: 9</t>
  </si>
  <si>
    <t>Coverage ratio: 0.750 (9/12)</t>
  </si>
  <si>
    <t>Orientation (directed edges): [(1, 0), (1, 3), (2, 0), (2, 6), (3, 2), (4, 0), (4, 5), (5, 1), (6, 4), (7, 3), (7, 5), (7, 6)]</t>
  </si>
  <si>
    <t>Equal current coverage: YES (all edges carry 0.333 current)</t>
  </si>
  <si>
    <t>Edge (7, 6): current=0.333, branches=3, paths=[7,0]</t>
  </si>
  <si>
    <t>Edge (6, 4): current=0.333, branches=3, paths=[7,0]</t>
  </si>
  <si>
    <t>Edge (4, 0): current=0.333, branches=3, paths=[7,0]</t>
  </si>
  <si>
    <t>Edge (7, 5): current=0.333, branches=3, paths=[7,0]</t>
  </si>
  <si>
    <t>Edge (5, 1): current=0.333, branches=3, paths=[7,0]</t>
  </si>
  <si>
    <t>Edge (1, 0): current=0.333, branches=3, paths=[7,0]</t>
  </si>
  <si>
    <t>Edge (7, 3): current=0.333, branches=3, paths=[7,0]</t>
  </si>
  <si>
    <t>Edge (3, 2): current=0.333, branches=3, paths=[7,0]</t>
  </si>
  <si>
    <t>Edge (2, 0): current=0.333, branches=3, paths=[7,0]</t>
  </si>
  <si>
    <t>Coverage with two taps, equal current</t>
  </si>
  <si>
    <t>Edge coverage with two taps, non-equal current</t>
  </si>
  <si>
    <t>=== Octahedron | L=3: maximize coverage with 2 endpoints ===</t>
  </si>
  <si>
    <t>Fixed endpoints: 2 | Paths: 4 | Edge coverage: 12</t>
  </si>
  <si>
    <t>Endpoint set: {0, 1}</t>
  </si>
  <si>
    <t>Endpoint usage counts: {0: 4, 1: 4}</t>
  </si>
  <si>
    <t xml:space="preserve">  Path 1: vertices [0, 5, 3, 1] | len=3 | edges=[(0, 5), (5, 3), (3, 1)]</t>
  </si>
  <si>
    <t xml:space="preserve">  Path 2: vertices [0, 4, 2, 1] | len=3 | edges=[(0, 4), (4, 2), (2, 1)]</t>
  </si>
  <si>
    <t xml:space="preserve">  Path 3: vertices [1, 5, 2, 0] | len=3 | edges=[(1, 5), (5, 2), (2, 0)]</t>
  </si>
  <si>
    <t xml:space="preserve">  Path 4: vertices [1, 4, 3, 0] | len=3 | edges=[(1, 4), (4, 3), (3, 0)]</t>
  </si>
  <si>
    <t>Total edges covered: 12</t>
  </si>
  <si>
    <t>Orientation (directed edges): [(0, 4), (0, 5), (1, 4), (1, 5), (2, 0), (2, 1), (3, 0), (3, 1), (4, 2), (4, 3), (5, 2), (5, 3)]</t>
  </si>
  <si>
    <t>Equal current coverage: YES (all edges carry 0.500 current)</t>
  </si>
  <si>
    <t>Edge (0, 5): current=0.500, branches=4, paths=[0,1]</t>
  </si>
  <si>
    <t>Edge (5, 3): current=0.500, branches=4, paths=[0,1] [1,0]</t>
  </si>
  <si>
    <t>Edge (3, 1): current=0.500, branches=4, paths=[0,1]</t>
  </si>
  <si>
    <t>Edge (5, 2): current=0.500, branches=4, paths=[0,1] [1,0]</t>
  </si>
  <si>
    <t>Edge (2, 1): current=0.500, branches=4, paths=[0,1]</t>
  </si>
  <si>
    <t>Edge (0, 4): current=0.500, branches=4, paths=[0,1]</t>
  </si>
  <si>
    <t>Edge (4, 3): current=0.500, branches=4, paths=[0,1] [1,0]</t>
  </si>
  <si>
    <t>Edge (4, 2): current=0.500, branches=4, paths=[0,1] [1,0]</t>
  </si>
  <si>
    <t>Edge (1, 5): current=0.500, branches=4, paths=[1,0]</t>
  </si>
  <si>
    <t>Edge (3, 0): current=0.500, branches=4, paths=[1,0]</t>
  </si>
  <si>
    <t>Edge (2, 0): current=0.500, branches=4, paths=[1,0]</t>
  </si>
  <si>
    <t>Edge (1, 4): current=0.500, branches=4, paths=[1,0]</t>
  </si>
  <si>
    <t>Vertex 0: Alternating</t>
  </si>
  <si>
    <t>Vertex 1: Alternating</t>
  </si>
  <si>
    <t>Design classification: Mixed polarity (contains Alternating vertices)</t>
  </si>
  <si>
    <t>Path 1: 0 -&gt; 5 -&gt; 3 -&gt; 1 | 0=A 1=C</t>
  </si>
  <si>
    <t>Path 2: 0 -&gt; 4 -&gt; 2 -&gt; 1 | 0=A 1=C</t>
  </si>
  <si>
    <t>Path 3: 1 -&gt; 5 -&gt; 2 -&gt; 0 | 0=C 1=A</t>
  </si>
  <si>
    <t>Path 4: 1 -&gt; 4 -&gt; 3 -&gt; 0 | 0=C 1=A</t>
  </si>
  <si>
    <t>=== Cuboctahedron | L=3: maximize coverage with 6 endpoints (equal current) ===</t>
  </si>
  <si>
    <t>Fixed endpoints: 6 | Paths: 8 | Edge coverage: 24</t>
  </si>
  <si>
    <t>Endpoint set: {2, 3, 4, 5, 7, 9}</t>
  </si>
  <si>
    <t>Endpoint usage counts: {2: 4, 3: 4, 4: 2, 5: 2, 7: 2, 9: 2}</t>
  </si>
  <si>
    <t xml:space="preserve">  Path 1: vertices [2, 0, 1, 3] | len=3 | edges=[(2, 0), (0, 1), (1, 3)]</t>
  </si>
  <si>
    <t xml:space="preserve">  Path 2: vertices [3, 4, 0, 5] | len=3 | edges=[(3, 4), (4, 0), (0, 5)]</t>
  </si>
  <si>
    <t xml:space="preserve">  Path 3: vertices [3, 8, 7, 2] | len=3 | edges=[(3, 8), (8, 7), (7, 2)]</t>
  </si>
  <si>
    <t xml:space="preserve">  Path 4: vertices [4, 11, 10, 9] | len=3 | edges=[(4, 11), (11, 10), (10, 9)]</t>
  </si>
  <si>
    <t xml:space="preserve">  Path 5: vertices [5, 10, 6, 2] | len=3 | edges=[(5, 10), (10, 6), (6, 2)]</t>
  </si>
  <si>
    <t xml:space="preserve">  Path 6: vertices [7, 6, 5, 4] | len=3 | edges=[(7, 6), (6, 5), (5, 4)]</t>
  </si>
  <si>
    <t xml:space="preserve">  Path 7: vertices [7, 9, 11, 3] | len=3 | edges=[(7, 9), (9, 11), (11, 3)]</t>
  </si>
  <si>
    <t xml:space="preserve">  Path 8: vertices [9, 8, 1, 2] | len=3 | edges=[(9, 8), (8, 1), (1, 2)]</t>
  </si>
  <si>
    <t>Total edges covered: 24</t>
  </si>
  <si>
    <t>Orientation (directed edges): [(0, 1), (0, 5), (1, 2), (1, 3), (2, 0), (3, 4), (3, 8), (4, 0), (4, 11), (5, 4), (5, 10), (6, 2), (6, 5), (7, 2), (7, 6), (7, 9), (8, 1), (8, 7), (9, 8), (9, 11), (10, 6), (10, 9), (11, 3), (11, 10)]</t>
  </si>
  <si>
    <t>Equal current coverage: YES (all edges carry 1.000 current)</t>
  </si>
  <si>
    <t>Edge (2, 0): current=1.000, branches=1, paths=[2,3]</t>
  </si>
  <si>
    <t>Edge (0, 1): current=1.000, branches=1, paths=[2,3]</t>
  </si>
  <si>
    <t>Edge (1, 3): current=1.000, branches=1, paths=[2,3]</t>
  </si>
  <si>
    <t>Edge (3, 4): current=1.000, branches=1, paths=[3,5]</t>
  </si>
  <si>
    <t>Edge (4, 0): current=1.000, branches=1, paths=[3,5]</t>
  </si>
  <si>
    <t>Edge (0, 5): current=1.000, branches=1, paths=[3,5]</t>
  </si>
  <si>
    <t>Edge (3, 8): current=1.000, branches=2, paths=[3,2]</t>
  </si>
  <si>
    <t>Edge (8, 7): current=1.000, branches=2, paths=[3,2] [9,2]</t>
  </si>
  <si>
    <t>Edge (7, 2): current=1.000, branches=2, paths=[3,2] [9,2]</t>
  </si>
  <si>
    <t>Edge (8, 1): current=1.000, branches=2, paths=[3,2] [9,2]</t>
  </si>
  <si>
    <t>Edge (1, 2): current=1.000, branches=2, paths=[3,2] [9,2]</t>
  </si>
  <si>
    <t>Edge (4, 11): current=1.000, branches=1, paths=[4,9]</t>
  </si>
  <si>
    <t>Edge (11, 10): current=1.000, branches=1, paths=[4,9]</t>
  </si>
  <si>
    <t>Edge (10, 9): current=1.000, branches=1, paths=[4,9]</t>
  </si>
  <si>
    <t>Edge (5, 10): current=1.000, branches=1, paths=[5,2]</t>
  </si>
  <si>
    <t>Edge (10, 6): current=1.000, branches=1, paths=[5,2]</t>
  </si>
  <si>
    <t>Edge (6, 2): current=1.000, branches=1, paths=[5,2]</t>
  </si>
  <si>
    <t>Edge (7, 6): current=1.000, branches=1, paths=[7,4]</t>
  </si>
  <si>
    <t>Edge (6, 5): current=1.000, branches=1, paths=[7,4]</t>
  </si>
  <si>
    <t>Edge (5, 4): current=1.000, branches=1, paths=[7,4]</t>
  </si>
  <si>
    <t>Edge (7, 9): current=1.000, branches=1, paths=[7,3]</t>
  </si>
  <si>
    <t>Edge (9, 11): current=1.000, branches=1, paths=[7,3]</t>
  </si>
  <si>
    <t>Edge (11, 3): current=1.000, branches=1, paths=[7,3]</t>
  </si>
  <si>
    <t>Edge (9, 8): current=1.000, branches=2, paths=[9,2]</t>
  </si>
  <si>
    <t>Vertex 2: Alternating</t>
  </si>
  <si>
    <t>Vertex 3: Alternating</t>
  </si>
  <si>
    <t>Vertex 4: Alternating</t>
  </si>
  <si>
    <t>Vertex 5: Alternating</t>
  </si>
  <si>
    <t>Vertex 9: Alternating</t>
  </si>
  <si>
    <t>Path 1: 2 -&gt; 0 -&gt; 1 -&gt; 3 | 2=A 3=C 4=A 5=A 7=A 9=A</t>
  </si>
  <si>
    <t>Path 2: 3 -&gt; 4 -&gt; 0 -&gt; 5 | 2=A 3=A 4=A 5=C 7=A 9=A</t>
  </si>
  <si>
    <t>Path 3: 3 -&gt; 8 -&gt; 7 -&gt; 2 | 2=C 3=A 4=A 5=A 7=A 9=A</t>
  </si>
  <si>
    <t>Path 4: 4 -&gt; 11 -&gt; 10 -&gt; 9 | 2=A 3=A 4=A 5=A 7=C 9=C</t>
  </si>
  <si>
    <t>Path 5: 5 -&gt; 10 -&gt; 6 -&gt; 2 | 2=C 3=A 4=A 5=A 7=C 9=A</t>
  </si>
  <si>
    <t>Path 6: 7 -&gt; 6 -&gt; 5 -&gt; 4 | 2=A 3=C 4=C 5=A 7=A 9=A</t>
  </si>
  <si>
    <t>Path 7: 7 -&gt; 9 -&gt; 11 -&gt; 3 | 2=A 3=C 4=A 5=A 7=A 9=A</t>
  </si>
  <si>
    <t>Path 8: 9 -&gt; 8 -&gt; 1 -&gt; 2 | 2=C 3=A 4=A 5=A 7=C 9=A</t>
  </si>
  <si>
    <t>model</t>
  </si>
  <si>
    <t>n_vertices</t>
  </si>
  <si>
    <t>n_edges</t>
  </si>
  <si>
    <t>n_faces</t>
  </si>
  <si>
    <t>eulerian_undirected</t>
  </si>
  <si>
    <t>face_only_ok</t>
  </si>
  <si>
    <t>face_only_n_cycles</t>
  </si>
  <si>
    <t>general_ok</t>
  </si>
  <si>
    <t>general_n_cycles</t>
  </si>
  <si>
    <t>general_candidate_cycles</t>
  </si>
  <si>
    <t>note</t>
  </si>
  <si>
    <t>augmented-dodecahedron.json</t>
  </si>
  <si>
    <t>Not Eulerian (some vertex degrees are odd), so an undirected edge-disjoint cycle decomposition is impossible.</t>
  </si>
  <si>
    <t>augmented-hexagonal-prism.json</t>
  </si>
  <si>
    <t>augmented-pentagonal-prism.json</t>
  </si>
  <si>
    <t>augmented-sphenocorona.json</t>
  </si>
  <si>
    <t>augmented-triangular-prism.json</t>
  </si>
  <si>
    <t>augmented-tridiminished-icosahedron.json</t>
  </si>
  <si>
    <t>augmented-truncated-cube.json</t>
  </si>
  <si>
    <t>augmented-truncated-dodecahedron.json</t>
  </si>
  <si>
    <t>augmented-truncated-tetrahedron.json</t>
  </si>
  <si>
    <t>biaugmented-pentagonal-prism.json</t>
  </si>
  <si>
    <t>biaugmented-triangular-prism.json</t>
  </si>
  <si>
    <t>biaugmented-truncated-cube.json</t>
  </si>
  <si>
    <t>bigyrate-diminished-rhombicosidodecahedron.json</t>
  </si>
  <si>
    <t>bilunabirotunda.json</t>
  </si>
  <si>
    <t>cube.json</t>
  </si>
  <si>
    <t>cuboctahedron.json</t>
  </si>
  <si>
    <t>Found planar edge-partition using 4 cycle(s).</t>
  </si>
  <si>
    <t>decagonal-antiprism.json</t>
  </si>
  <si>
    <t>Found planar edge-partition using 11 cycle(s).</t>
  </si>
  <si>
    <t>decagonal-prism.json</t>
  </si>
  <si>
    <t>diminished-rhombicosidodecahedron.json</t>
  </si>
  <si>
    <t>disphenocingulum.json</t>
  </si>
  <si>
    <t>dodecahedron.json</t>
  </si>
  <si>
    <t>elongated-pentagonal-bipyramid.json</t>
  </si>
  <si>
    <t>elongated-pentagonal-cupola.json</t>
  </si>
  <si>
    <t>elongated-pentagonal-gyrobicupola.json</t>
  </si>
  <si>
    <t>Found planar edge-partition using 16 cycle(s).</t>
  </si>
  <si>
    <t>elongated-pentagonal-gyrobirotunda.json</t>
  </si>
  <si>
    <t>Found planar edge-partition using 21 cycle(s).</t>
  </si>
  <si>
    <t>elongated-pentagonal-gyrocupolarotunda.json</t>
  </si>
  <si>
    <t>elongated-pentagonal-orthobicupola.json</t>
  </si>
  <si>
    <t>Found planar edge-partition using 15 cycle(s).</t>
  </si>
  <si>
    <t>elongated-pentagonal-orthobirotunda.json</t>
  </si>
  <si>
    <t>Found planar edge-partition using 17 cycle(s).</t>
  </si>
  <si>
    <t>elongated-pentagonal-orthocupolarotunda.json</t>
  </si>
  <si>
    <t>elongated-pentagonal-pyramid.json</t>
  </si>
  <si>
    <t>elongated-pentagonal-rotunda.json</t>
  </si>
  <si>
    <t>elongated-square-bipyramid.json</t>
  </si>
  <si>
    <t>Found planar edge-partition using 6 cycle(s).</t>
  </si>
  <si>
    <t>elongated-square-cupola.json</t>
  </si>
  <si>
    <t>elongated-square-gyrobicupola.json</t>
  </si>
  <si>
    <t>Found planar edge-partition using 13 cycle(s).</t>
  </si>
  <si>
    <t>elongated-square-pyramid.json</t>
  </si>
  <si>
    <t>elongated-triangular-bipyramid.json</t>
  </si>
  <si>
    <t>elongated-triangular-cupola.json</t>
  </si>
  <si>
    <t>elongated-triangular-gyrobicupola.json</t>
  </si>
  <si>
    <t>Found planar edge-partition using 10 cycle(s).</t>
  </si>
  <si>
    <t>elongated-triangular-orthobicupola.json</t>
  </si>
  <si>
    <t>Found planar edge-partition using 9 cycle(s).</t>
  </si>
  <si>
    <t>elongated-triangular-pyramid.json</t>
  </si>
  <si>
    <t>gyrate-bidiminished-rhombicosidodecahedron.json</t>
  </si>
  <si>
    <t>gyrate-rhombicosidodecahedron.json</t>
  </si>
  <si>
    <t>Found planar edge-partition using 31 cycle(s).</t>
  </si>
  <si>
    <t>gyrobifastigium.json</t>
  </si>
  <si>
    <t>gyroelongated-pentagonal-bicupola.json</t>
  </si>
  <si>
    <t>gyroelongated-pentagonal-birotunda.json</t>
  </si>
  <si>
    <t>gyroelongated-pentagonal-cupola.json</t>
  </si>
  <si>
    <t>gyroelongated-pentagonal-cupolarotunda.json</t>
  </si>
  <si>
    <t>gyroelongated-pentagonal-pyramid.json</t>
  </si>
  <si>
    <t>gyroelongated-pentagonal-rotunda.json</t>
  </si>
  <si>
    <t>gyroelongated-square-bicupola.json</t>
  </si>
  <si>
    <t>gyroelongated-square-bipyramid.json</t>
  </si>
  <si>
    <t>gyroelongated-square-cupola.json</t>
  </si>
  <si>
    <t>gyroelongated-square-pyramid.json</t>
  </si>
  <si>
    <t>gyroelongated-triangular-bicupola.json</t>
  </si>
  <si>
    <t>gyroelongated-triangular-cupola.json</t>
  </si>
  <si>
    <t>hebesphenomegacorona.json</t>
  </si>
  <si>
    <t>hexagonal-antiprism.json</t>
  </si>
  <si>
    <t>Found planar edge-partition using 7 cycle(s).</t>
  </si>
  <si>
    <t>hexagonal-prism.json</t>
  </si>
  <si>
    <t>icosahedron.json</t>
  </si>
  <si>
    <t>icosidodecahedron.json</t>
  </si>
  <si>
    <t>metabiaugmented-dodecahedron.json</t>
  </si>
  <si>
    <t>metabiaugmented-hexagonal-prism.json</t>
  </si>
  <si>
    <t>metabiaugmented-truncated-dodecahedron.json</t>
  </si>
  <si>
    <t>metabidiminished-icosahedron.json</t>
  </si>
  <si>
    <t>metabidiminished-rhombicosidodecahedron.json</t>
  </si>
  <si>
    <t>metabigyrate-rhombicosidodecahedron.json</t>
  </si>
  <si>
    <t>Found planar edge-partition using 30 cycle(s).</t>
  </si>
  <si>
    <t>metagyrate-diminished-rhombicosidodecahedron.json</t>
  </si>
  <si>
    <t>octagonal-antiprism.json</t>
  </si>
  <si>
    <t>octagonal-prism.json</t>
  </si>
  <si>
    <t>octahedron.json</t>
  </si>
  <si>
    <t>Found planar edge-partition using 3 cycle(s).</t>
  </si>
  <si>
    <t>parabiaugmented-dodecahedron.json</t>
  </si>
  <si>
    <t>parabiaugmented-hexagonal-prism.json</t>
  </si>
  <si>
    <t>parabiaugmented-truncated-dodecahedron.json</t>
  </si>
  <si>
    <t>parabidiminished-rhombicosidodecahedron.json</t>
  </si>
  <si>
    <t>parabigyrate-rhombicosidodecahedron.json</t>
  </si>
  <si>
    <t>Found planar edge-partition using 32 cycle(s).</t>
  </si>
  <si>
    <t>paragyrate-diminished-rhombicosidodecahedron.json</t>
  </si>
  <si>
    <t>pentagonal-antiprism.json</t>
  </si>
  <si>
    <t>pentagonal-bipyramid.json</t>
  </si>
  <si>
    <t>pentagonal-cupola.json</t>
  </si>
  <si>
    <t>pentagonal-gyrobicupola.json</t>
  </si>
  <si>
    <t>pentagonal-gyrocupolarotunda.json</t>
  </si>
  <si>
    <t>pentagonal-orthobicupola.json</t>
  </si>
  <si>
    <t>pentagonal-orthobirotunda.json</t>
  </si>
  <si>
    <t>pentagonal-orthocupolarotunda.json</t>
  </si>
  <si>
    <t>pentagonal-prism.json</t>
  </si>
  <si>
    <t>pentagonal-pyramid.json</t>
  </si>
  <si>
    <t>pentagonal-rotunda.json</t>
  </si>
  <si>
    <t>rhombicosidodecahedron.json</t>
  </si>
  <si>
    <t>rhombicuboctahedron.json</t>
  </si>
  <si>
    <t>Found planar edge-partition using 12 cycle(s).</t>
  </si>
  <si>
    <t>snub-cube.json</t>
  </si>
  <si>
    <t>snub-disphenoid.json</t>
  </si>
  <si>
    <t>snub-dodecahedron.json</t>
  </si>
  <si>
    <t>snub-square-antiprism.json</t>
  </si>
  <si>
    <t>sphenocorona.json</t>
  </si>
  <si>
    <t>sphenomegacorona.json</t>
  </si>
  <si>
    <t>square-antiprism.json</t>
  </si>
  <si>
    <t>Found planar edge-partition using 5 cycle(s).</t>
  </si>
  <si>
    <t>square-cupola.json</t>
  </si>
  <si>
    <t>square-gyrobicupola.json</t>
  </si>
  <si>
    <t>Found planar edge-partition using 8 cycle(s).</t>
  </si>
  <si>
    <t>square-orthobicupola.json</t>
  </si>
  <si>
    <t>square-pyramid.json</t>
  </si>
  <si>
    <t>tetrahedron.json</t>
  </si>
  <si>
    <t>triangular-bipyramid.json</t>
  </si>
  <si>
    <t>triangular-cupola.json</t>
  </si>
  <si>
    <t>triangular-hebesphenorotunda.json</t>
  </si>
  <si>
    <t>triangular-orthobicupola.json</t>
  </si>
  <si>
    <t>triangular-prism.json</t>
  </si>
  <si>
    <t>triaugmented-dodecahedron.json</t>
  </si>
  <si>
    <t>triaugmented-hexagonal-prism.json</t>
  </si>
  <si>
    <t>triaugmented-triangular-prism.json</t>
  </si>
  <si>
    <t>triaugmented-truncated-dodecahedron.json</t>
  </si>
  <si>
    <t>tridiminished-icosahedron.json</t>
  </si>
  <si>
    <t>tridiminished-rhombicosidodecahedron.json</t>
  </si>
  <si>
    <t>trigyrate-rhombicosidodecahedron.json</t>
  </si>
  <si>
    <t>Found planar edge-partition using 29 cycle(s).</t>
  </si>
  <si>
    <t>truncated-cube.json</t>
  </si>
  <si>
    <t>truncated-cuboctahedron.json</t>
  </si>
  <si>
    <t>truncated-dodecahedron.json</t>
  </si>
  <si>
    <t>truncated-icosahedron.json</t>
  </si>
  <si>
    <t>truncated-icosidodecahedron.json</t>
  </si>
  <si>
    <t>truncated-octahedron.json</t>
  </si>
  <si>
    <t>truncated-tetrahedron.json</t>
  </si>
  <si>
    <t xml:space="preserve"> </t>
  </si>
  <si>
    <t>ok</t>
  </si>
  <si>
    <t>cycle_length</t>
  </si>
  <si>
    <t>num_cycles</t>
  </si>
  <si>
    <t>num_endpoints</t>
  </si>
  <si>
    <t>No equal even-length cycle decomposition found.</t>
  </si>
  <si>
    <t>square.json</t>
  </si>
  <si>
    <t>star-octahedron.json</t>
  </si>
  <si>
    <t>star_octahedron.json</t>
  </si>
  <si>
    <t>L=4</t>
  </si>
  <si>
    <t>L=6</t>
  </si>
  <si>
    <t>L=8</t>
  </si>
  <si>
    <t>L=10</t>
  </si>
  <si>
    <t>L=12</t>
  </si>
  <si>
    <t>vertex_degrees</t>
  </si>
  <si>
    <t>3,4,5</t>
  </si>
  <si>
    <t>3,4</t>
  </si>
  <si>
    <t>4,5</t>
  </si>
  <si>
    <t>3,5</t>
  </si>
  <si>
    <t>2,4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</si>
</sst>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" xfId="0" quotePrefix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0" fillId="4" borderId="2" xfId="0" quotePrefix="1" applyFill="1" applyBorder="1" applyAlignment="1">
      <alignment horizontal="center"/>
    </xf>
    <xf numFmtId="0" fontId="1" fillId="5" borderId="2" xfId="0" applyFont="1" applyFill="1" applyBorder="1"/>
    <xf numFmtId="0" fontId="1" fillId="2" borderId="2" xfId="0" applyFont="1" applyFill="1" applyBorder="1" applyAlignment="1">
      <alignment horizontal="center"/>
    </xf>
    <xf numFmtId="0" fontId="0" fillId="8" borderId="0" xfId="0" applyFill="1"/>
    <xf numFmtId="0" fontId="1" fillId="8" borderId="0" xfId="0" applyFont="1" applyFill="1" applyAlignment="1">
      <alignment horizontal="center"/>
    </xf>
    <xf numFmtId="0" fontId="1" fillId="7" borderId="0" xfId="0" quotePrefix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6</xdr:col>
      <xdr:colOff>429025</xdr:colOff>
      <xdr:row>19</xdr:row>
      <xdr:rowOff>169977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334771-F2C8-477E-8A16-9F19F48D9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48640"/>
          <a:ext cx="2867425" cy="3096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281941</xdr:colOff>
      <xdr:row>3</xdr:row>
      <xdr:rowOff>110166</xdr:rowOff>
    </xdr:from>
    <xdr:to>
      <xdr:col>9</xdr:col>
      <xdr:colOff>83821</xdr:colOff>
      <xdr:row>24</xdr:row>
      <xdr:rowOff>61673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EBCB8F-85B9-4A80-871A-98EB2FB44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0741" y="658806"/>
          <a:ext cx="3459480" cy="3791987"/>
        </a:xfrm>
        <a:prstGeom prst="rect">
          <a:avLst/>
        </a:prstGeom>
      </xdr:spPr>
    </xdr:pic>
    <xdr:clientData/>
  </xdr:twoCellAnchor>
  <xdr:twoCellAnchor editAs="oneCell">
    <xdr:from>
      <xdr:col>12</xdr:col>
      <xdr:colOff>15240</xdr:colOff>
      <xdr:row>4</xdr:row>
      <xdr:rowOff>45720</xdr:rowOff>
    </xdr:from>
    <xdr:to>
      <xdr:col>19</xdr:col>
      <xdr:colOff>377836</xdr:colOff>
      <xdr:row>32</xdr:row>
      <xdr:rowOff>21666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69AC56-EFAC-4976-87D8-A9ED5B982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03480" y="777240"/>
          <a:ext cx="4629796" cy="5096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373380</xdr:colOff>
      <xdr:row>11</xdr:row>
      <xdr:rowOff>7620</xdr:rowOff>
    </xdr:from>
    <xdr:to>
      <xdr:col>11</xdr:col>
      <xdr:colOff>240777</xdr:colOff>
      <xdr:row>38</xdr:row>
      <xdr:rowOff>33078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0ED1AB-6BD5-450D-9C57-76548C13D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0" y="2019300"/>
          <a:ext cx="5353797" cy="496321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335280</xdr:colOff>
      <xdr:row>3</xdr:row>
      <xdr:rowOff>68580</xdr:rowOff>
    </xdr:from>
    <xdr:to>
      <xdr:col>11</xdr:col>
      <xdr:colOff>336046</xdr:colOff>
      <xdr:row>31</xdr:row>
      <xdr:rowOff>149316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3BC62B-D5E6-473B-979F-7888CB2B7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480" y="617220"/>
          <a:ext cx="5487166" cy="52013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0FE3-BE20-49D8-AF28-F682CEA2B90A}">
  <dimension ref="C1:AD28"/>
  <sheetViews>
    <sheetView tabSelected="1" zoomScale="115" zoomScaleNormal="115" workbookViewId="0">
      <selection activeCell="J30" sqref="J30"/>
    </sheetView>
  </sheetViews>
  <sheetFormatPr defaultRowHeight="14.4" x14ac:dyDescent="0.3"/>
  <cols>
    <col min="4" max="4" width="20.77734375" bestFit="1" customWidth="1"/>
    <col min="7" max="9" width="8.21875" customWidth="1"/>
  </cols>
  <sheetData>
    <row r="1" spans="3:30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3:30" x14ac:dyDescent="0.3"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</row>
    <row r="3" spans="3:30" x14ac:dyDescent="0.3"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</row>
    <row r="4" spans="3:30" x14ac:dyDescent="0.3"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</row>
    <row r="5" spans="3:30" x14ac:dyDescent="0.3">
      <c r="C5" s="14"/>
      <c r="D5" s="14"/>
      <c r="E5" s="14"/>
      <c r="F5" s="14"/>
      <c r="G5" s="18" t="s">
        <v>19</v>
      </c>
      <c r="H5" s="18"/>
      <c r="I5" s="18"/>
      <c r="J5" s="18"/>
      <c r="K5" s="18"/>
      <c r="L5" s="14"/>
      <c r="M5" s="18" t="s">
        <v>78</v>
      </c>
      <c r="N5" s="18"/>
      <c r="O5" s="18"/>
      <c r="P5" s="18"/>
      <c r="Q5" s="18"/>
      <c r="R5" s="18"/>
      <c r="S5" s="14"/>
      <c r="T5" s="14"/>
      <c r="U5" s="14"/>
      <c r="V5" s="14"/>
      <c r="W5" s="14"/>
      <c r="Y5" s="18" t="s">
        <v>77</v>
      </c>
      <c r="Z5" s="18"/>
      <c r="AA5" s="18"/>
      <c r="AB5" s="18"/>
      <c r="AC5" s="18"/>
    </row>
    <row r="6" spans="3:30" x14ac:dyDescent="0.3">
      <c r="C6" s="14"/>
      <c r="D6" s="14"/>
      <c r="E6" s="10" t="s">
        <v>13</v>
      </c>
      <c r="F6" s="10" t="s">
        <v>14</v>
      </c>
      <c r="G6" s="1" t="s">
        <v>18</v>
      </c>
      <c r="H6" s="1">
        <v>2</v>
      </c>
      <c r="I6" s="1">
        <v>3</v>
      </c>
      <c r="J6" s="1">
        <v>4</v>
      </c>
      <c r="K6" s="1">
        <v>5</v>
      </c>
      <c r="L6" s="14"/>
      <c r="M6" s="13" t="s">
        <v>18</v>
      </c>
      <c r="N6" s="13">
        <v>2</v>
      </c>
      <c r="O6" s="13">
        <v>3</v>
      </c>
      <c r="P6" s="13">
        <v>4</v>
      </c>
      <c r="Q6" s="13">
        <v>5</v>
      </c>
      <c r="R6" s="13">
        <v>6</v>
      </c>
      <c r="S6" s="15" t="s">
        <v>312</v>
      </c>
      <c r="T6" s="15"/>
      <c r="U6" s="15"/>
      <c r="V6" s="15"/>
      <c r="W6" s="15"/>
      <c r="Y6" s="1" t="s">
        <v>18</v>
      </c>
      <c r="Z6" s="1">
        <v>2</v>
      </c>
      <c r="AA6" s="1">
        <v>3</v>
      </c>
      <c r="AB6" s="1">
        <v>4</v>
      </c>
      <c r="AC6" s="1">
        <v>5</v>
      </c>
      <c r="AD6" s="1">
        <v>6</v>
      </c>
    </row>
    <row r="7" spans="3:30" x14ac:dyDescent="0.3">
      <c r="C7" s="14"/>
      <c r="D7" s="9" t="s">
        <v>1</v>
      </c>
      <c r="E7" s="2">
        <v>4</v>
      </c>
      <c r="F7" s="2">
        <v>6</v>
      </c>
      <c r="G7" s="3">
        <v>4</v>
      </c>
      <c r="H7" s="4" t="s">
        <v>2</v>
      </c>
      <c r="I7" s="4" t="s">
        <v>2</v>
      </c>
      <c r="J7" s="4" t="s">
        <v>2</v>
      </c>
      <c r="K7" s="4" t="s">
        <v>2</v>
      </c>
      <c r="L7" s="14"/>
      <c r="M7" s="7">
        <v>1</v>
      </c>
      <c r="N7" s="7">
        <v>4</v>
      </c>
      <c r="O7" s="7">
        <v>3</v>
      </c>
      <c r="P7" s="7" t="s">
        <v>2</v>
      </c>
      <c r="Q7" s="7" t="s">
        <v>2</v>
      </c>
      <c r="R7" s="7" t="s">
        <v>2</v>
      </c>
      <c r="S7" s="14"/>
      <c r="T7" s="14"/>
      <c r="U7" s="14"/>
      <c r="V7" s="14"/>
      <c r="W7" s="14"/>
      <c r="Y7" s="7">
        <v>1</v>
      </c>
      <c r="Z7" s="7">
        <v>4</v>
      </c>
      <c r="AA7" s="7">
        <v>3</v>
      </c>
      <c r="AB7" s="7" t="s">
        <v>2</v>
      </c>
      <c r="AC7" s="7" t="s">
        <v>2</v>
      </c>
      <c r="AD7" s="7" t="s">
        <v>2</v>
      </c>
    </row>
    <row r="8" spans="3:30" x14ac:dyDescent="0.3">
      <c r="C8" s="14"/>
      <c r="D8" s="9" t="s">
        <v>3</v>
      </c>
      <c r="E8" s="5">
        <v>6</v>
      </c>
      <c r="F8" s="5">
        <v>8</v>
      </c>
      <c r="G8" s="6">
        <v>6</v>
      </c>
      <c r="H8" s="7" t="s">
        <v>2</v>
      </c>
      <c r="I8" s="6">
        <v>6</v>
      </c>
      <c r="J8" s="7" t="s">
        <v>2</v>
      </c>
      <c r="K8" s="7" t="s">
        <v>2</v>
      </c>
      <c r="L8" s="14"/>
      <c r="M8" s="7">
        <v>1</v>
      </c>
      <c r="N8" s="7">
        <v>4</v>
      </c>
      <c r="O8" s="7">
        <v>7</v>
      </c>
      <c r="P8" s="7">
        <v>6</v>
      </c>
      <c r="Q8" s="7">
        <v>5</v>
      </c>
      <c r="R8" s="7" t="s">
        <v>2</v>
      </c>
      <c r="S8" s="14"/>
      <c r="T8" s="14"/>
      <c r="U8" s="14"/>
      <c r="V8" s="14"/>
      <c r="W8" s="14"/>
      <c r="Y8" s="7">
        <v>1</v>
      </c>
      <c r="Z8" s="7">
        <v>4</v>
      </c>
      <c r="AA8" s="7" t="s">
        <v>2</v>
      </c>
      <c r="AB8" s="7" t="s">
        <v>2</v>
      </c>
      <c r="AC8" s="7">
        <v>5</v>
      </c>
      <c r="AD8" s="7" t="s">
        <v>2</v>
      </c>
    </row>
    <row r="9" spans="3:30" x14ac:dyDescent="0.3">
      <c r="C9" s="14"/>
      <c r="D9" s="9" t="s">
        <v>0</v>
      </c>
      <c r="E9" s="5">
        <v>8</v>
      </c>
      <c r="F9" s="5">
        <v>12</v>
      </c>
      <c r="G9" s="6">
        <v>8</v>
      </c>
      <c r="H9" s="6">
        <v>8</v>
      </c>
      <c r="I9" s="6">
        <v>8</v>
      </c>
      <c r="J9" s="7" t="s">
        <v>2</v>
      </c>
      <c r="K9" s="7" t="s">
        <v>2</v>
      </c>
      <c r="L9" s="14"/>
      <c r="M9" s="7">
        <v>1</v>
      </c>
      <c r="N9" s="7">
        <v>4</v>
      </c>
      <c r="O9" s="16">
        <v>12</v>
      </c>
      <c r="P9" s="16">
        <v>12</v>
      </c>
      <c r="Q9" s="7">
        <v>9</v>
      </c>
      <c r="R9" s="7">
        <v>8</v>
      </c>
      <c r="S9" s="14"/>
      <c r="T9" s="14"/>
      <c r="U9" s="14"/>
      <c r="V9" s="14"/>
      <c r="W9" s="14"/>
      <c r="Y9" s="7" t="s">
        <v>2</v>
      </c>
      <c r="Z9" s="7">
        <v>4</v>
      </c>
      <c r="AA9" s="7" t="s">
        <v>2</v>
      </c>
      <c r="AB9" s="7" t="s">
        <v>2</v>
      </c>
      <c r="AC9" s="7">
        <v>5</v>
      </c>
      <c r="AD9" s="7" t="s">
        <v>2</v>
      </c>
    </row>
    <row r="10" spans="3:30" x14ac:dyDescent="0.3">
      <c r="C10" s="14"/>
      <c r="D10" s="9" t="s">
        <v>4</v>
      </c>
      <c r="E10" s="5">
        <v>6</v>
      </c>
      <c r="F10" s="5">
        <v>12</v>
      </c>
      <c r="G10" s="6">
        <v>6</v>
      </c>
      <c r="H10" s="17">
        <v>4</v>
      </c>
      <c r="I10" s="17">
        <v>2</v>
      </c>
      <c r="J10" s="7" t="s">
        <v>2</v>
      </c>
      <c r="K10" s="7" t="s">
        <v>2</v>
      </c>
      <c r="L10" s="14"/>
      <c r="M10" s="7">
        <v>1</v>
      </c>
      <c r="N10" s="7">
        <v>8</v>
      </c>
      <c r="O10" s="16">
        <v>12</v>
      </c>
      <c r="P10" s="7">
        <v>6</v>
      </c>
      <c r="Q10" s="7">
        <v>5</v>
      </c>
      <c r="R10" s="7" t="s">
        <v>2</v>
      </c>
      <c r="S10" s="14"/>
      <c r="T10" s="14"/>
      <c r="U10" s="14"/>
      <c r="V10" s="14"/>
      <c r="W10" s="14"/>
      <c r="Y10" s="7" t="s">
        <v>2</v>
      </c>
      <c r="Z10" s="7">
        <v>8</v>
      </c>
      <c r="AA10" s="7" t="s">
        <v>2</v>
      </c>
      <c r="AB10" s="7" t="s">
        <v>2</v>
      </c>
      <c r="AC10" s="7" t="s">
        <v>2</v>
      </c>
      <c r="AD10" s="7" t="s">
        <v>2</v>
      </c>
    </row>
    <row r="11" spans="3:30" x14ac:dyDescent="0.3">
      <c r="C11" s="14"/>
      <c r="D11" s="9" t="s">
        <v>5</v>
      </c>
      <c r="E11" s="5">
        <v>10</v>
      </c>
      <c r="F11" s="5">
        <v>15</v>
      </c>
      <c r="G11" s="6">
        <v>10</v>
      </c>
      <c r="H11" s="7" t="s">
        <v>2</v>
      </c>
      <c r="I11" s="6">
        <v>10</v>
      </c>
      <c r="J11" s="7" t="s">
        <v>2</v>
      </c>
      <c r="K11" s="7" t="s">
        <v>2</v>
      </c>
      <c r="L11" s="14"/>
      <c r="M11" s="7">
        <v>1</v>
      </c>
      <c r="N11" s="7">
        <v>4</v>
      </c>
      <c r="O11" s="7">
        <v>7</v>
      </c>
      <c r="P11" s="7">
        <v>10</v>
      </c>
      <c r="Q11" s="7">
        <v>11</v>
      </c>
      <c r="R11" s="7">
        <v>12</v>
      </c>
      <c r="S11" s="14"/>
      <c r="T11" s="14"/>
      <c r="U11" s="14"/>
      <c r="V11" s="14"/>
      <c r="W11" s="14"/>
      <c r="Y11" s="7" t="s">
        <v>2</v>
      </c>
      <c r="Z11" s="7" t="s">
        <v>2</v>
      </c>
      <c r="AA11" s="7" t="s">
        <v>2</v>
      </c>
      <c r="AB11" s="7" t="s">
        <v>2</v>
      </c>
      <c r="AC11" s="7" t="s">
        <v>2</v>
      </c>
      <c r="AD11" s="7" t="s">
        <v>2</v>
      </c>
    </row>
    <row r="12" spans="3:30" x14ac:dyDescent="0.3">
      <c r="C12" s="14"/>
      <c r="D12" s="9" t="s">
        <v>6</v>
      </c>
      <c r="E12" s="5">
        <v>12</v>
      </c>
      <c r="F12" s="5">
        <v>18</v>
      </c>
      <c r="G12" s="6">
        <v>12</v>
      </c>
      <c r="H12" s="6">
        <v>12</v>
      </c>
      <c r="I12" s="6">
        <v>12</v>
      </c>
      <c r="J12" s="7" t="s">
        <v>2</v>
      </c>
      <c r="K12" s="7" t="s">
        <v>2</v>
      </c>
      <c r="L12" s="14"/>
      <c r="M12" s="7">
        <v>1</v>
      </c>
      <c r="N12" s="7">
        <v>2</v>
      </c>
      <c r="O12" s="7">
        <v>6</v>
      </c>
      <c r="P12" s="7">
        <v>11</v>
      </c>
      <c r="Q12" s="7">
        <v>13</v>
      </c>
      <c r="R12" s="7">
        <v>13</v>
      </c>
      <c r="S12" s="14"/>
      <c r="T12" s="14"/>
      <c r="U12" s="14"/>
      <c r="V12" s="14"/>
      <c r="W12" s="14"/>
      <c r="Y12" s="7" t="s">
        <v>2</v>
      </c>
      <c r="Z12" s="7" t="s">
        <v>2</v>
      </c>
      <c r="AA12" s="7" t="s">
        <v>2</v>
      </c>
      <c r="AB12" s="7" t="s">
        <v>2</v>
      </c>
      <c r="AC12" s="7" t="s">
        <v>2</v>
      </c>
      <c r="AD12" s="7" t="s">
        <v>2</v>
      </c>
    </row>
    <row r="13" spans="3:30" x14ac:dyDescent="0.3">
      <c r="C13" s="14"/>
      <c r="D13" s="9" t="s">
        <v>7</v>
      </c>
      <c r="E13" s="5">
        <v>8</v>
      </c>
      <c r="F13" s="5">
        <v>18</v>
      </c>
      <c r="G13" s="6">
        <v>8</v>
      </c>
      <c r="H13" s="7" t="s">
        <v>2</v>
      </c>
      <c r="I13" s="7" t="s">
        <v>2</v>
      </c>
      <c r="J13" s="7" t="s">
        <v>2</v>
      </c>
      <c r="K13" s="7" t="s">
        <v>2</v>
      </c>
      <c r="L13" s="14"/>
      <c r="M13" s="7">
        <v>1</v>
      </c>
      <c r="N13" s="7">
        <v>8</v>
      </c>
      <c r="O13" s="7">
        <v>15</v>
      </c>
      <c r="P13" s="7">
        <v>11</v>
      </c>
      <c r="Q13" s="7">
        <v>9</v>
      </c>
      <c r="R13" s="7">
        <v>8</v>
      </c>
      <c r="S13" s="14"/>
      <c r="T13" s="14"/>
      <c r="U13" s="14"/>
      <c r="V13" s="14"/>
      <c r="W13" s="14"/>
      <c r="Y13" s="7" t="s">
        <v>2</v>
      </c>
      <c r="Z13" s="7" t="s">
        <v>2</v>
      </c>
      <c r="AA13" s="7" t="s">
        <v>2</v>
      </c>
      <c r="AB13" s="7" t="s">
        <v>2</v>
      </c>
      <c r="AC13" s="7" t="s">
        <v>2</v>
      </c>
      <c r="AD13" s="7" t="s">
        <v>2</v>
      </c>
    </row>
    <row r="14" spans="3:30" x14ac:dyDescent="0.3">
      <c r="C14" s="14"/>
      <c r="D14" s="9" t="s">
        <v>8</v>
      </c>
      <c r="E14" s="5">
        <v>12</v>
      </c>
      <c r="F14" s="5">
        <v>18</v>
      </c>
      <c r="G14" s="6">
        <v>12</v>
      </c>
      <c r="H14" s="6">
        <v>12</v>
      </c>
      <c r="I14" s="6">
        <v>12</v>
      </c>
      <c r="J14" s="7" t="s">
        <v>2</v>
      </c>
      <c r="K14" s="7" t="s">
        <v>2</v>
      </c>
      <c r="L14" s="14"/>
      <c r="M14" s="7">
        <v>1</v>
      </c>
      <c r="N14" s="7">
        <v>4</v>
      </c>
      <c r="O14" s="7">
        <v>7</v>
      </c>
      <c r="P14" s="7">
        <v>17</v>
      </c>
      <c r="Q14" s="7">
        <v>16</v>
      </c>
      <c r="R14" s="7">
        <v>17</v>
      </c>
      <c r="S14" s="14"/>
      <c r="T14" s="14"/>
      <c r="U14" s="14"/>
      <c r="V14" s="14"/>
      <c r="W14" s="14"/>
      <c r="Y14" s="7" t="s">
        <v>2</v>
      </c>
      <c r="Z14" s="7" t="s">
        <v>2</v>
      </c>
      <c r="AA14" s="7" t="s">
        <v>2</v>
      </c>
      <c r="AB14" s="7" t="s">
        <v>2</v>
      </c>
      <c r="AC14" s="7" t="s">
        <v>2</v>
      </c>
      <c r="AD14" s="7" t="s">
        <v>2</v>
      </c>
    </row>
    <row r="15" spans="3:30" x14ac:dyDescent="0.3">
      <c r="C15" s="14"/>
      <c r="D15" s="9" t="s">
        <v>9</v>
      </c>
      <c r="E15" s="5">
        <v>12</v>
      </c>
      <c r="F15" s="5">
        <v>24</v>
      </c>
      <c r="G15" s="6">
        <v>12</v>
      </c>
      <c r="H15" s="17">
        <v>8</v>
      </c>
      <c r="I15" s="17">
        <v>4</v>
      </c>
      <c r="J15" s="7" t="s">
        <v>2</v>
      </c>
      <c r="K15" s="7" t="s">
        <v>2</v>
      </c>
      <c r="L15" s="14"/>
      <c r="M15" s="7">
        <v>1</v>
      </c>
      <c r="N15" s="7">
        <v>4</v>
      </c>
      <c r="O15" s="7">
        <v>12</v>
      </c>
      <c r="P15" s="7">
        <v>20</v>
      </c>
      <c r="Q15" s="7">
        <v>20</v>
      </c>
      <c r="R15" s="7">
        <v>16</v>
      </c>
      <c r="S15" s="14"/>
      <c r="T15" s="14"/>
      <c r="U15" s="14"/>
      <c r="V15" s="14"/>
      <c r="W15" s="14"/>
      <c r="Y15" s="7" t="s">
        <v>2</v>
      </c>
      <c r="Z15" s="7" t="s">
        <v>2</v>
      </c>
      <c r="AA15" s="7" t="s">
        <v>2</v>
      </c>
      <c r="AB15" s="7" t="s">
        <v>2</v>
      </c>
      <c r="AC15" s="7" t="s">
        <v>2</v>
      </c>
      <c r="AD15" s="7" t="s">
        <v>2</v>
      </c>
    </row>
    <row r="16" spans="3:30" x14ac:dyDescent="0.3">
      <c r="C16" s="14"/>
      <c r="D16" s="9" t="s">
        <v>10</v>
      </c>
      <c r="E16" s="5">
        <v>14</v>
      </c>
      <c r="F16" s="5">
        <v>24</v>
      </c>
      <c r="G16" s="6">
        <v>14</v>
      </c>
      <c r="H16" s="6">
        <v>12</v>
      </c>
      <c r="I16" s="6">
        <v>12</v>
      </c>
      <c r="J16" s="7" t="s">
        <v>2</v>
      </c>
      <c r="K16" s="7" t="s">
        <v>2</v>
      </c>
      <c r="L16" s="14"/>
      <c r="M16" s="7">
        <v>1</v>
      </c>
      <c r="N16" s="7">
        <v>4</v>
      </c>
      <c r="O16" s="7">
        <v>9</v>
      </c>
      <c r="P16" s="7">
        <v>21</v>
      </c>
      <c r="Q16" s="7">
        <v>21</v>
      </c>
      <c r="R16" s="7">
        <v>22</v>
      </c>
      <c r="S16" s="14"/>
      <c r="T16" s="14"/>
      <c r="U16" s="14"/>
      <c r="V16" s="14"/>
      <c r="W16" s="14"/>
      <c r="Y16" s="7" t="s">
        <v>2</v>
      </c>
      <c r="Z16" s="7" t="s">
        <v>2</v>
      </c>
      <c r="AA16" s="7" t="s">
        <v>2</v>
      </c>
      <c r="AB16" s="7" t="s">
        <v>2</v>
      </c>
      <c r="AC16" s="7" t="s">
        <v>2</v>
      </c>
      <c r="AD16" s="7" t="s">
        <v>2</v>
      </c>
    </row>
    <row r="17" spans="3:30" x14ac:dyDescent="0.3">
      <c r="C17" s="14"/>
      <c r="D17" s="9" t="s">
        <v>11</v>
      </c>
      <c r="E17" s="5">
        <v>11</v>
      </c>
      <c r="F17" s="5">
        <v>27</v>
      </c>
      <c r="G17" s="6">
        <v>11</v>
      </c>
      <c r="H17" s="7" t="s">
        <v>2</v>
      </c>
      <c r="I17" s="7" t="s">
        <v>2</v>
      </c>
      <c r="J17" s="7" t="s">
        <v>2</v>
      </c>
      <c r="K17" s="7" t="s">
        <v>2</v>
      </c>
      <c r="L17" s="14"/>
      <c r="M17" s="7">
        <v>1</v>
      </c>
      <c r="N17" s="7">
        <v>6</v>
      </c>
      <c r="O17" s="7">
        <v>20</v>
      </c>
      <c r="P17" s="7">
        <v>19</v>
      </c>
      <c r="Q17" s="7">
        <v>19</v>
      </c>
      <c r="R17" s="7">
        <v>14</v>
      </c>
      <c r="S17" s="14"/>
      <c r="T17" s="14"/>
      <c r="U17" s="14"/>
      <c r="V17" s="14"/>
      <c r="W17" s="14"/>
      <c r="Y17" s="7" t="s">
        <v>2</v>
      </c>
      <c r="Z17" s="7" t="s">
        <v>2</v>
      </c>
      <c r="AA17" s="7" t="s">
        <v>2</v>
      </c>
      <c r="AB17" s="7" t="s">
        <v>2</v>
      </c>
      <c r="AC17" s="7" t="s">
        <v>2</v>
      </c>
      <c r="AD17" s="7" t="s">
        <v>2</v>
      </c>
    </row>
    <row r="18" spans="3:30" x14ac:dyDescent="0.3">
      <c r="C18" s="14"/>
      <c r="D18" s="9" t="s">
        <v>12</v>
      </c>
      <c r="E18" s="5">
        <v>20</v>
      </c>
      <c r="F18" s="5">
        <v>30</v>
      </c>
      <c r="G18" s="7">
        <v>20</v>
      </c>
      <c r="H18" s="7">
        <v>20</v>
      </c>
      <c r="I18" s="7" t="s">
        <v>2</v>
      </c>
      <c r="J18" s="7" t="s">
        <v>2</v>
      </c>
      <c r="K18" s="7" t="s">
        <v>2</v>
      </c>
      <c r="L18" s="14"/>
      <c r="M18" s="7">
        <v>1</v>
      </c>
      <c r="N18" s="7">
        <v>2</v>
      </c>
      <c r="O18" s="7">
        <v>3</v>
      </c>
      <c r="P18" s="7">
        <v>8</v>
      </c>
      <c r="Q18" s="7">
        <v>18</v>
      </c>
      <c r="R18" s="7">
        <v>19</v>
      </c>
      <c r="S18" s="14"/>
      <c r="T18" s="14"/>
      <c r="U18" s="14"/>
      <c r="V18" s="14"/>
      <c r="W18" s="14"/>
      <c r="Y18" s="7" t="s">
        <v>2</v>
      </c>
      <c r="Z18" s="7" t="s">
        <v>2</v>
      </c>
      <c r="AA18" s="7" t="s">
        <v>2</v>
      </c>
      <c r="AB18" s="7" t="s">
        <v>2</v>
      </c>
      <c r="AC18" s="7" t="s">
        <v>2</v>
      </c>
      <c r="AD18" s="7" t="s">
        <v>2</v>
      </c>
    </row>
    <row r="19" spans="3:30" x14ac:dyDescent="0.3">
      <c r="C19" s="14"/>
      <c r="D19" s="9" t="s">
        <v>15</v>
      </c>
      <c r="E19" s="5">
        <v>12</v>
      </c>
      <c r="F19" s="5">
        <v>30</v>
      </c>
      <c r="G19" s="7">
        <v>12</v>
      </c>
      <c r="H19" s="7">
        <v>12</v>
      </c>
      <c r="I19" s="7" t="s">
        <v>2</v>
      </c>
      <c r="J19" s="7" t="s">
        <v>2</v>
      </c>
      <c r="K19" s="7" t="s">
        <v>2</v>
      </c>
      <c r="L19" s="14"/>
      <c r="M19" s="7">
        <v>1</v>
      </c>
      <c r="N19" s="7">
        <v>4</v>
      </c>
      <c r="O19" s="7">
        <v>18</v>
      </c>
      <c r="P19" s="7">
        <v>24</v>
      </c>
      <c r="Q19" s="7">
        <v>17</v>
      </c>
      <c r="R19" s="7">
        <v>16</v>
      </c>
      <c r="S19" s="14"/>
      <c r="T19" s="14"/>
      <c r="U19" s="14"/>
      <c r="V19" s="14"/>
      <c r="W19" s="14"/>
      <c r="Y19" s="7" t="s">
        <v>2</v>
      </c>
      <c r="Z19" s="7" t="s">
        <v>2</v>
      </c>
      <c r="AA19" s="7" t="s">
        <v>2</v>
      </c>
      <c r="AB19" s="7" t="s">
        <v>2</v>
      </c>
      <c r="AC19" s="7" t="s">
        <v>2</v>
      </c>
      <c r="AD19" s="7" t="s">
        <v>2</v>
      </c>
    </row>
    <row r="20" spans="3:30" x14ac:dyDescent="0.3">
      <c r="C20" s="14"/>
      <c r="D20" s="9" t="s">
        <v>16</v>
      </c>
      <c r="E20" s="5">
        <v>14</v>
      </c>
      <c r="F20" s="5">
        <v>36</v>
      </c>
      <c r="G20" s="7">
        <v>14</v>
      </c>
      <c r="H20" s="7" t="s">
        <v>2</v>
      </c>
      <c r="I20" s="7" t="s">
        <v>2</v>
      </c>
      <c r="J20" s="7" t="s">
        <v>2</v>
      </c>
      <c r="K20" s="7" t="s">
        <v>2</v>
      </c>
      <c r="L20" s="14"/>
      <c r="M20" s="7">
        <v>1</v>
      </c>
      <c r="N20" s="7">
        <v>6</v>
      </c>
      <c r="O20" s="7">
        <v>20</v>
      </c>
      <c r="P20" s="7">
        <v>24</v>
      </c>
      <c r="Q20" s="7">
        <v>27</v>
      </c>
      <c r="R20" s="7">
        <v>18</v>
      </c>
      <c r="S20" s="14"/>
      <c r="T20" s="14"/>
      <c r="U20" s="14"/>
      <c r="V20" s="14"/>
      <c r="W20" s="14"/>
      <c r="Y20" s="7" t="s">
        <v>2</v>
      </c>
      <c r="Z20" s="7" t="s">
        <v>2</v>
      </c>
      <c r="AA20" s="7" t="s">
        <v>2</v>
      </c>
      <c r="AB20" s="7" t="s">
        <v>2</v>
      </c>
      <c r="AC20" s="7" t="s">
        <v>2</v>
      </c>
      <c r="AD20" s="7" t="s">
        <v>2</v>
      </c>
    </row>
    <row r="21" spans="3:30" x14ac:dyDescent="0.3">
      <c r="C21" s="14"/>
      <c r="D21" s="12" t="s">
        <v>17</v>
      </c>
      <c r="E21" s="8">
        <v>14</v>
      </c>
      <c r="F21" s="8">
        <v>36</v>
      </c>
      <c r="G21" s="11">
        <v>14</v>
      </c>
      <c r="H21" s="11" t="s">
        <v>2</v>
      </c>
      <c r="I21" s="11" t="s">
        <v>2</v>
      </c>
      <c r="J21" s="11" t="s">
        <v>2</v>
      </c>
      <c r="K21" s="11" t="s">
        <v>2</v>
      </c>
      <c r="L21" s="14"/>
      <c r="M21" s="11">
        <v>1</v>
      </c>
      <c r="N21" s="11">
        <v>8</v>
      </c>
      <c r="O21" s="11">
        <v>24</v>
      </c>
      <c r="P21" s="11">
        <v>20</v>
      </c>
      <c r="Q21" s="11">
        <v>21</v>
      </c>
      <c r="R21" s="11">
        <v>16</v>
      </c>
      <c r="S21" s="14"/>
      <c r="T21" s="14"/>
      <c r="U21" s="14"/>
      <c r="V21" s="14"/>
      <c r="W21" s="14"/>
      <c r="Y21" s="7" t="s">
        <v>2</v>
      </c>
      <c r="Z21" s="7" t="s">
        <v>2</v>
      </c>
      <c r="AA21" s="7" t="s">
        <v>2</v>
      </c>
      <c r="AB21" s="7" t="s">
        <v>2</v>
      </c>
      <c r="AC21" s="7" t="s">
        <v>2</v>
      </c>
      <c r="AD21" s="7" t="s">
        <v>2</v>
      </c>
    </row>
    <row r="22" spans="3:30" x14ac:dyDescent="0.3"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3:30" x14ac:dyDescent="0.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3:30" x14ac:dyDescent="0.3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3:30" x14ac:dyDescent="0.3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3:30" x14ac:dyDescent="0.3"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</row>
    <row r="27" spans="3:30" x14ac:dyDescent="0.3"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3:30" x14ac:dyDescent="0.3">
      <c r="C28" s="14"/>
      <c r="S28" s="14"/>
      <c r="T28" s="14"/>
      <c r="U28" s="14"/>
      <c r="V28" s="14"/>
      <c r="W28" s="14"/>
    </row>
  </sheetData>
  <mergeCells count="3">
    <mergeCell ref="G5:K5"/>
    <mergeCell ref="Y5:AC5"/>
    <mergeCell ref="M5:R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FC241-1F42-46DE-8A6D-E2B57F73A42E}">
  <dimension ref="A1:K121"/>
  <sheetViews>
    <sheetView topLeftCell="A4" workbookViewId="0">
      <selection activeCell="C43" sqref="C43:C44"/>
    </sheetView>
  </sheetViews>
  <sheetFormatPr defaultRowHeight="14.4" x14ac:dyDescent="0.3"/>
  <cols>
    <col min="1" max="1" width="46" bestFit="1" customWidth="1"/>
    <col min="5" max="5" width="11.21875" customWidth="1"/>
    <col min="6" max="6" width="14.21875" bestFit="1" customWidth="1"/>
    <col min="7" max="7" width="6.21875" customWidth="1"/>
  </cols>
  <sheetData>
    <row r="1" spans="1:11" x14ac:dyDescent="0.3">
      <c r="A1" t="s">
        <v>161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</row>
    <row r="2" spans="1:11" x14ac:dyDescent="0.3">
      <c r="A2" t="s">
        <v>291</v>
      </c>
      <c r="B2">
        <v>4</v>
      </c>
      <c r="C2">
        <v>6</v>
      </c>
      <c r="D2">
        <v>4</v>
      </c>
      <c r="E2" t="b">
        <v>0</v>
      </c>
      <c r="F2" t="b">
        <v>0</v>
      </c>
      <c r="G2">
        <v>0</v>
      </c>
      <c r="H2" t="b">
        <v>0</v>
      </c>
      <c r="I2">
        <v>0</v>
      </c>
      <c r="J2">
        <v>0</v>
      </c>
      <c r="K2" t="s">
        <v>173</v>
      </c>
    </row>
    <row r="3" spans="1:11" x14ac:dyDescent="0.3">
      <c r="A3" t="s">
        <v>290</v>
      </c>
      <c r="B3">
        <v>5</v>
      </c>
      <c r="C3">
        <v>8</v>
      </c>
      <c r="D3">
        <v>5</v>
      </c>
      <c r="E3" t="b">
        <v>0</v>
      </c>
      <c r="F3" t="b">
        <v>0</v>
      </c>
      <c r="G3">
        <v>0</v>
      </c>
      <c r="H3" t="b">
        <v>0</v>
      </c>
      <c r="I3">
        <v>0</v>
      </c>
      <c r="J3">
        <v>0</v>
      </c>
      <c r="K3" t="s">
        <v>173</v>
      </c>
    </row>
    <row r="4" spans="1:11" x14ac:dyDescent="0.3">
      <c r="A4" t="s">
        <v>292</v>
      </c>
      <c r="B4">
        <v>5</v>
      </c>
      <c r="C4">
        <v>9</v>
      </c>
      <c r="D4">
        <v>6</v>
      </c>
      <c r="E4" t="b">
        <v>0</v>
      </c>
      <c r="F4" t="b">
        <v>0</v>
      </c>
      <c r="G4">
        <v>0</v>
      </c>
      <c r="H4" t="b">
        <v>0</v>
      </c>
      <c r="I4">
        <v>0</v>
      </c>
      <c r="J4">
        <v>0</v>
      </c>
      <c r="K4" t="s">
        <v>173</v>
      </c>
    </row>
    <row r="5" spans="1:11" x14ac:dyDescent="0.3">
      <c r="A5" t="s">
        <v>296</v>
      </c>
      <c r="B5">
        <v>6</v>
      </c>
      <c r="C5">
        <v>9</v>
      </c>
      <c r="D5">
        <v>5</v>
      </c>
      <c r="E5" t="b">
        <v>0</v>
      </c>
      <c r="F5" t="b">
        <v>0</v>
      </c>
      <c r="G5">
        <v>0</v>
      </c>
      <c r="H5" t="b">
        <v>0</v>
      </c>
      <c r="I5">
        <v>0</v>
      </c>
      <c r="J5">
        <v>0</v>
      </c>
      <c r="K5" t="s">
        <v>173</v>
      </c>
    </row>
    <row r="6" spans="1:11" x14ac:dyDescent="0.3">
      <c r="A6" t="s">
        <v>273</v>
      </c>
      <c r="B6">
        <v>6</v>
      </c>
      <c r="C6">
        <v>10</v>
      </c>
      <c r="D6">
        <v>6</v>
      </c>
      <c r="E6" t="b">
        <v>0</v>
      </c>
      <c r="F6" t="b">
        <v>0</v>
      </c>
      <c r="G6">
        <v>0</v>
      </c>
      <c r="H6" t="b">
        <v>0</v>
      </c>
      <c r="I6">
        <v>0</v>
      </c>
      <c r="J6">
        <v>0</v>
      </c>
      <c r="K6" t="s">
        <v>173</v>
      </c>
    </row>
    <row r="7" spans="1:11" x14ac:dyDescent="0.3">
      <c r="A7" t="s">
        <v>187</v>
      </c>
      <c r="B7">
        <v>8</v>
      </c>
      <c r="C7">
        <v>12</v>
      </c>
      <c r="D7">
        <v>6</v>
      </c>
      <c r="E7" t="b">
        <v>0</v>
      </c>
      <c r="F7" t="b">
        <v>0</v>
      </c>
      <c r="G7">
        <v>0</v>
      </c>
      <c r="H7" t="b">
        <v>0</v>
      </c>
      <c r="I7">
        <v>0</v>
      </c>
      <c r="J7">
        <v>0</v>
      </c>
      <c r="K7" t="s">
        <v>173</v>
      </c>
    </row>
    <row r="8" spans="1:11" x14ac:dyDescent="0.3">
      <c r="A8" t="s">
        <v>222</v>
      </c>
      <c r="B8">
        <v>7</v>
      </c>
      <c r="C8">
        <v>12</v>
      </c>
      <c r="D8">
        <v>7</v>
      </c>
      <c r="E8" t="b">
        <v>0</v>
      </c>
      <c r="F8" t="b">
        <v>0</v>
      </c>
      <c r="G8">
        <v>0</v>
      </c>
      <c r="H8" t="b">
        <v>0</v>
      </c>
      <c r="I8">
        <v>0</v>
      </c>
      <c r="J8">
        <v>0</v>
      </c>
      <c r="K8" t="s">
        <v>173</v>
      </c>
    </row>
    <row r="9" spans="1:11" x14ac:dyDescent="0.3">
      <c r="A9" t="s">
        <v>255</v>
      </c>
      <c r="B9">
        <v>6</v>
      </c>
      <c r="C9">
        <v>12</v>
      </c>
      <c r="D9">
        <v>8</v>
      </c>
      <c r="E9" t="b">
        <v>1</v>
      </c>
      <c r="F9" t="b">
        <v>1</v>
      </c>
      <c r="G9">
        <v>4</v>
      </c>
      <c r="H9" t="b">
        <v>1</v>
      </c>
      <c r="I9">
        <v>3</v>
      </c>
      <c r="J9">
        <v>11</v>
      </c>
      <c r="K9" t="s">
        <v>256</v>
      </c>
    </row>
    <row r="10" spans="1:11" x14ac:dyDescent="0.3">
      <c r="A10" t="s">
        <v>177</v>
      </c>
      <c r="B10">
        <v>7</v>
      </c>
      <c r="C10">
        <v>13</v>
      </c>
      <c r="D10">
        <v>8</v>
      </c>
      <c r="E10" t="b">
        <v>0</v>
      </c>
      <c r="F10" t="b">
        <v>0</v>
      </c>
      <c r="G10">
        <v>0</v>
      </c>
      <c r="H10" t="b">
        <v>0</v>
      </c>
      <c r="I10">
        <v>0</v>
      </c>
      <c r="J10">
        <v>0</v>
      </c>
      <c r="K10" t="s">
        <v>173</v>
      </c>
    </row>
    <row r="11" spans="1:11" x14ac:dyDescent="0.3">
      <c r="A11" t="s">
        <v>226</v>
      </c>
      <c r="B11">
        <v>8</v>
      </c>
      <c r="C11">
        <v>14</v>
      </c>
      <c r="D11">
        <v>8</v>
      </c>
      <c r="E11" t="b">
        <v>0</v>
      </c>
      <c r="F11" t="b">
        <v>0</v>
      </c>
      <c r="G11">
        <v>0</v>
      </c>
      <c r="H11" t="b">
        <v>0</v>
      </c>
      <c r="I11">
        <v>0</v>
      </c>
      <c r="J11">
        <v>0</v>
      </c>
      <c r="K11" t="s">
        <v>173</v>
      </c>
    </row>
    <row r="12" spans="1:11" x14ac:dyDescent="0.3">
      <c r="A12" t="s">
        <v>216</v>
      </c>
      <c r="B12">
        <v>8</v>
      </c>
      <c r="C12">
        <v>15</v>
      </c>
      <c r="D12">
        <v>9</v>
      </c>
      <c r="E12" t="b">
        <v>0</v>
      </c>
      <c r="F12" t="b">
        <v>0</v>
      </c>
      <c r="G12">
        <v>0</v>
      </c>
      <c r="H12" t="b">
        <v>0</v>
      </c>
      <c r="I12">
        <v>0</v>
      </c>
      <c r="J12">
        <v>0</v>
      </c>
      <c r="K12" t="s">
        <v>173</v>
      </c>
    </row>
    <row r="13" spans="1:11" x14ac:dyDescent="0.3">
      <c r="A13" t="s">
        <v>265</v>
      </c>
      <c r="B13">
        <v>7</v>
      </c>
      <c r="C13">
        <v>15</v>
      </c>
      <c r="D13">
        <v>10</v>
      </c>
      <c r="E13" t="b">
        <v>0</v>
      </c>
      <c r="F13" t="b">
        <v>0</v>
      </c>
      <c r="G13">
        <v>0</v>
      </c>
      <c r="H13" t="b">
        <v>0</v>
      </c>
      <c r="I13">
        <v>0</v>
      </c>
      <c r="J13">
        <v>0</v>
      </c>
      <c r="K13" t="s">
        <v>173</v>
      </c>
    </row>
    <row r="14" spans="1:11" x14ac:dyDescent="0.3">
      <c r="A14" t="s">
        <v>272</v>
      </c>
      <c r="B14">
        <v>10</v>
      </c>
      <c r="C14">
        <v>15</v>
      </c>
      <c r="D14">
        <v>7</v>
      </c>
      <c r="E14" t="b">
        <v>0</v>
      </c>
      <c r="F14" t="b">
        <v>0</v>
      </c>
      <c r="G14">
        <v>0</v>
      </c>
      <c r="H14" t="b">
        <v>0</v>
      </c>
      <c r="I14">
        <v>0</v>
      </c>
      <c r="J14">
        <v>0</v>
      </c>
      <c r="K14" t="s">
        <v>173</v>
      </c>
    </row>
    <row r="15" spans="1:11" x14ac:dyDescent="0.3">
      <c r="A15" t="s">
        <v>293</v>
      </c>
      <c r="B15">
        <v>9</v>
      </c>
      <c r="C15">
        <v>15</v>
      </c>
      <c r="D15">
        <v>8</v>
      </c>
      <c r="E15" t="b">
        <v>0</v>
      </c>
      <c r="F15" t="b">
        <v>0</v>
      </c>
      <c r="G15">
        <v>0</v>
      </c>
      <c r="H15" t="b">
        <v>0</v>
      </c>
      <c r="I15">
        <v>0</v>
      </c>
      <c r="J15">
        <v>0</v>
      </c>
      <c r="K15" t="s">
        <v>173</v>
      </c>
    </row>
    <row r="16" spans="1:11" x14ac:dyDescent="0.3">
      <c r="A16" t="s">
        <v>301</v>
      </c>
      <c r="B16">
        <v>9</v>
      </c>
      <c r="C16">
        <v>15</v>
      </c>
      <c r="D16">
        <v>8</v>
      </c>
      <c r="E16" t="b">
        <v>0</v>
      </c>
      <c r="F16" t="b">
        <v>0</v>
      </c>
      <c r="G16">
        <v>0</v>
      </c>
      <c r="H16" t="b">
        <v>0</v>
      </c>
      <c r="I16">
        <v>0</v>
      </c>
      <c r="J16">
        <v>0</v>
      </c>
      <c r="K16" t="s">
        <v>173</v>
      </c>
    </row>
    <row r="17" spans="1:11" x14ac:dyDescent="0.3">
      <c r="A17" t="s">
        <v>215</v>
      </c>
      <c r="B17">
        <v>9</v>
      </c>
      <c r="C17">
        <v>16</v>
      </c>
      <c r="D17">
        <v>9</v>
      </c>
      <c r="E17" t="b">
        <v>0</v>
      </c>
      <c r="F17" t="b">
        <v>0</v>
      </c>
      <c r="G17">
        <v>0</v>
      </c>
      <c r="H17" t="b">
        <v>0</v>
      </c>
      <c r="I17">
        <v>0</v>
      </c>
      <c r="J17">
        <v>0</v>
      </c>
      <c r="K17" t="s">
        <v>173</v>
      </c>
    </row>
    <row r="18" spans="1:11" x14ac:dyDescent="0.3">
      <c r="A18" t="s">
        <v>284</v>
      </c>
      <c r="B18">
        <v>8</v>
      </c>
      <c r="C18">
        <v>16</v>
      </c>
      <c r="D18">
        <v>10</v>
      </c>
      <c r="E18" t="b">
        <v>1</v>
      </c>
      <c r="F18" t="b">
        <v>1</v>
      </c>
      <c r="G18">
        <v>5</v>
      </c>
      <c r="H18" t="b">
        <v>1</v>
      </c>
      <c r="I18">
        <v>5</v>
      </c>
      <c r="J18">
        <v>10</v>
      </c>
      <c r="K18" t="s">
        <v>285</v>
      </c>
    </row>
    <row r="19" spans="1:11" x14ac:dyDescent="0.3">
      <c r="A19" t="s">
        <v>183</v>
      </c>
      <c r="B19">
        <v>8</v>
      </c>
      <c r="C19">
        <v>17</v>
      </c>
      <c r="D19">
        <v>11</v>
      </c>
      <c r="E19" t="b">
        <v>0</v>
      </c>
      <c r="F19" t="b">
        <v>0</v>
      </c>
      <c r="G19">
        <v>0</v>
      </c>
      <c r="H19" t="b">
        <v>0</v>
      </c>
      <c r="I19">
        <v>0</v>
      </c>
      <c r="J19">
        <v>0</v>
      </c>
      <c r="K19" t="s">
        <v>173</v>
      </c>
    </row>
    <row r="20" spans="1:11" x14ac:dyDescent="0.3">
      <c r="A20" t="s">
        <v>178</v>
      </c>
      <c r="B20">
        <v>10</v>
      </c>
      <c r="C20">
        <v>18</v>
      </c>
      <c r="D20">
        <v>10</v>
      </c>
      <c r="E20" t="b">
        <v>0</v>
      </c>
      <c r="F20" t="b">
        <v>0</v>
      </c>
      <c r="G20">
        <v>0</v>
      </c>
      <c r="H20" t="b">
        <v>0</v>
      </c>
      <c r="I20">
        <v>0</v>
      </c>
      <c r="J20">
        <v>0</v>
      </c>
      <c r="K20" t="s">
        <v>173</v>
      </c>
    </row>
    <row r="21" spans="1:11" x14ac:dyDescent="0.3">
      <c r="A21" t="s">
        <v>242</v>
      </c>
      <c r="B21">
        <v>12</v>
      </c>
      <c r="C21">
        <v>18</v>
      </c>
      <c r="D21">
        <v>8</v>
      </c>
      <c r="E21" t="b">
        <v>0</v>
      </c>
      <c r="F21" t="b">
        <v>0</v>
      </c>
      <c r="G21">
        <v>0</v>
      </c>
      <c r="H21" t="b">
        <v>0</v>
      </c>
      <c r="I21">
        <v>0</v>
      </c>
      <c r="J21">
        <v>0</v>
      </c>
      <c r="K21" t="s">
        <v>173</v>
      </c>
    </row>
    <row r="22" spans="1:11" x14ac:dyDescent="0.3">
      <c r="A22" t="s">
        <v>279</v>
      </c>
      <c r="B22">
        <v>8</v>
      </c>
      <c r="C22">
        <v>18</v>
      </c>
      <c r="D22">
        <v>12</v>
      </c>
      <c r="E22" t="b">
        <v>0</v>
      </c>
      <c r="F22" t="b">
        <v>0</v>
      </c>
      <c r="G22">
        <v>0</v>
      </c>
      <c r="H22" t="b">
        <v>0</v>
      </c>
      <c r="I22">
        <v>0</v>
      </c>
      <c r="J22">
        <v>0</v>
      </c>
      <c r="K22" t="s">
        <v>173</v>
      </c>
    </row>
    <row r="23" spans="1:11" x14ac:dyDescent="0.3">
      <c r="A23" t="s">
        <v>311</v>
      </c>
      <c r="B23">
        <v>12</v>
      </c>
      <c r="C23">
        <v>18</v>
      </c>
      <c r="D23">
        <v>8</v>
      </c>
      <c r="E23" t="b">
        <v>0</v>
      </c>
      <c r="F23" t="b">
        <v>0</v>
      </c>
      <c r="G23">
        <v>0</v>
      </c>
      <c r="H23" t="b">
        <v>0</v>
      </c>
      <c r="I23">
        <v>0</v>
      </c>
      <c r="J23">
        <v>0</v>
      </c>
      <c r="K23" t="s">
        <v>173</v>
      </c>
    </row>
    <row r="24" spans="1:11" x14ac:dyDescent="0.3">
      <c r="A24" t="s">
        <v>175</v>
      </c>
      <c r="B24">
        <v>11</v>
      </c>
      <c r="C24">
        <v>19</v>
      </c>
      <c r="D24">
        <v>10</v>
      </c>
      <c r="E24" t="b">
        <v>0</v>
      </c>
      <c r="F24" t="b">
        <v>0</v>
      </c>
      <c r="G24">
        <v>0</v>
      </c>
      <c r="H24" t="b">
        <v>0</v>
      </c>
      <c r="I24">
        <v>0</v>
      </c>
      <c r="J24">
        <v>0</v>
      </c>
      <c r="K24" t="s">
        <v>173</v>
      </c>
    </row>
    <row r="25" spans="1:11" x14ac:dyDescent="0.3">
      <c r="A25" t="s">
        <v>208</v>
      </c>
      <c r="B25">
        <v>11</v>
      </c>
      <c r="C25">
        <v>20</v>
      </c>
      <c r="D25">
        <v>11</v>
      </c>
      <c r="E25" t="b">
        <v>0</v>
      </c>
      <c r="F25" t="b">
        <v>0</v>
      </c>
      <c r="G25">
        <v>0</v>
      </c>
      <c r="H25" t="b">
        <v>0</v>
      </c>
      <c r="I25">
        <v>0</v>
      </c>
      <c r="J25">
        <v>0</v>
      </c>
      <c r="K25" t="s">
        <v>173</v>
      </c>
    </row>
    <row r="26" spans="1:11" x14ac:dyDescent="0.3">
      <c r="A26" t="s">
        <v>210</v>
      </c>
      <c r="B26">
        <v>10</v>
      </c>
      <c r="C26">
        <v>20</v>
      </c>
      <c r="D26">
        <v>12</v>
      </c>
      <c r="E26" t="b">
        <v>1</v>
      </c>
      <c r="F26" t="b">
        <v>1</v>
      </c>
      <c r="G26">
        <v>6</v>
      </c>
      <c r="H26" t="b">
        <v>1</v>
      </c>
      <c r="I26">
        <v>6</v>
      </c>
      <c r="J26">
        <v>14</v>
      </c>
      <c r="K26" t="s">
        <v>211</v>
      </c>
    </row>
    <row r="27" spans="1:11" x14ac:dyDescent="0.3">
      <c r="A27" t="s">
        <v>236</v>
      </c>
      <c r="B27">
        <v>9</v>
      </c>
      <c r="C27">
        <v>20</v>
      </c>
      <c r="D27">
        <v>13</v>
      </c>
      <c r="E27" t="b">
        <v>0</v>
      </c>
      <c r="F27" t="b">
        <v>0</v>
      </c>
      <c r="G27">
        <v>0</v>
      </c>
      <c r="H27" t="b">
        <v>0</v>
      </c>
      <c r="I27">
        <v>0</v>
      </c>
      <c r="J27">
        <v>0</v>
      </c>
      <c r="K27" t="s">
        <v>173</v>
      </c>
    </row>
    <row r="28" spans="1:11" x14ac:dyDescent="0.3">
      <c r="A28" t="s">
        <v>248</v>
      </c>
      <c r="B28">
        <v>10</v>
      </c>
      <c r="C28">
        <v>20</v>
      </c>
      <c r="D28">
        <v>12</v>
      </c>
      <c r="E28" t="b">
        <v>0</v>
      </c>
      <c r="F28" t="b">
        <v>0</v>
      </c>
      <c r="G28">
        <v>0</v>
      </c>
      <c r="H28" t="b">
        <v>0</v>
      </c>
      <c r="I28">
        <v>0</v>
      </c>
      <c r="J28">
        <v>0</v>
      </c>
      <c r="K28" t="s">
        <v>173</v>
      </c>
    </row>
    <row r="29" spans="1:11" x14ac:dyDescent="0.3">
      <c r="A29" t="s">
        <v>264</v>
      </c>
      <c r="B29">
        <v>10</v>
      </c>
      <c r="C29">
        <v>20</v>
      </c>
      <c r="D29">
        <v>12</v>
      </c>
      <c r="E29" t="b">
        <v>1</v>
      </c>
      <c r="F29" t="b">
        <v>1</v>
      </c>
      <c r="G29">
        <v>6</v>
      </c>
      <c r="H29" t="b">
        <v>1</v>
      </c>
      <c r="I29">
        <v>6</v>
      </c>
      <c r="J29">
        <v>12</v>
      </c>
      <c r="K29" t="s">
        <v>211</v>
      </c>
    </row>
    <row r="30" spans="1:11" x14ac:dyDescent="0.3">
      <c r="A30" t="s">
        <v>286</v>
      </c>
      <c r="B30">
        <v>12</v>
      </c>
      <c r="C30">
        <v>20</v>
      </c>
      <c r="D30">
        <v>10</v>
      </c>
      <c r="E30" t="b">
        <v>0</v>
      </c>
      <c r="F30" t="b">
        <v>0</v>
      </c>
      <c r="G30">
        <v>0</v>
      </c>
      <c r="H30" t="b">
        <v>0</v>
      </c>
      <c r="I30">
        <v>0</v>
      </c>
      <c r="J30">
        <v>0</v>
      </c>
      <c r="K30" t="s">
        <v>173</v>
      </c>
    </row>
    <row r="31" spans="1:11" x14ac:dyDescent="0.3">
      <c r="A31" t="s">
        <v>299</v>
      </c>
      <c r="B31">
        <v>9</v>
      </c>
      <c r="C31">
        <v>21</v>
      </c>
      <c r="D31">
        <v>14</v>
      </c>
      <c r="E31" t="b">
        <v>0</v>
      </c>
      <c r="F31" t="b">
        <v>0</v>
      </c>
      <c r="G31">
        <v>0</v>
      </c>
      <c r="H31" t="b">
        <v>0</v>
      </c>
      <c r="I31">
        <v>0</v>
      </c>
      <c r="J31">
        <v>0</v>
      </c>
      <c r="K31" t="s">
        <v>173</v>
      </c>
    </row>
    <row r="32" spans="1:11" x14ac:dyDescent="0.3">
      <c r="A32" t="s">
        <v>174</v>
      </c>
      <c r="B32">
        <v>13</v>
      </c>
      <c r="C32">
        <v>22</v>
      </c>
      <c r="D32">
        <v>11</v>
      </c>
      <c r="E32" t="b">
        <v>0</v>
      </c>
      <c r="F32" t="b">
        <v>0</v>
      </c>
      <c r="G32">
        <v>0</v>
      </c>
      <c r="H32" t="b">
        <v>0</v>
      </c>
      <c r="I32">
        <v>0</v>
      </c>
      <c r="J32">
        <v>0</v>
      </c>
      <c r="K32" t="s">
        <v>173</v>
      </c>
    </row>
    <row r="33" spans="1:11" x14ac:dyDescent="0.3">
      <c r="A33" t="s">
        <v>282</v>
      </c>
      <c r="B33">
        <v>10</v>
      </c>
      <c r="C33">
        <v>22</v>
      </c>
      <c r="D33">
        <v>14</v>
      </c>
      <c r="E33" t="b">
        <v>0</v>
      </c>
      <c r="F33" t="b">
        <v>0</v>
      </c>
      <c r="G33">
        <v>0</v>
      </c>
      <c r="H33" t="b">
        <v>0</v>
      </c>
      <c r="I33">
        <v>0</v>
      </c>
      <c r="J33">
        <v>0</v>
      </c>
      <c r="K33" t="s">
        <v>173</v>
      </c>
    </row>
    <row r="34" spans="1:11" x14ac:dyDescent="0.3">
      <c r="A34" t="s">
        <v>182</v>
      </c>
      <c r="B34">
        <v>12</v>
      </c>
      <c r="C34">
        <v>23</v>
      </c>
      <c r="D34">
        <v>13</v>
      </c>
      <c r="E34" t="b">
        <v>0</v>
      </c>
      <c r="F34" t="b">
        <v>0</v>
      </c>
      <c r="G34">
        <v>0</v>
      </c>
      <c r="H34" t="b">
        <v>0</v>
      </c>
      <c r="I34">
        <v>0</v>
      </c>
      <c r="J34">
        <v>0</v>
      </c>
      <c r="K34" t="s">
        <v>173</v>
      </c>
    </row>
    <row r="35" spans="1:11" x14ac:dyDescent="0.3">
      <c r="A35" t="s">
        <v>188</v>
      </c>
      <c r="B35">
        <v>12</v>
      </c>
      <c r="C35">
        <v>24</v>
      </c>
      <c r="D35">
        <v>14</v>
      </c>
      <c r="E35" t="b">
        <v>1</v>
      </c>
      <c r="F35" t="b">
        <v>1</v>
      </c>
      <c r="G35">
        <v>8</v>
      </c>
      <c r="H35" t="b">
        <v>1</v>
      </c>
      <c r="I35">
        <v>4</v>
      </c>
      <c r="J35">
        <v>18</v>
      </c>
      <c r="K35" t="s">
        <v>189</v>
      </c>
    </row>
    <row r="36" spans="1:11" x14ac:dyDescent="0.3">
      <c r="A36" t="s">
        <v>234</v>
      </c>
      <c r="B36">
        <v>10</v>
      </c>
      <c r="C36">
        <v>24</v>
      </c>
      <c r="D36">
        <v>16</v>
      </c>
      <c r="E36" t="b">
        <v>0</v>
      </c>
      <c r="F36" t="b">
        <v>0</v>
      </c>
      <c r="G36">
        <v>0</v>
      </c>
      <c r="H36" t="b">
        <v>0</v>
      </c>
      <c r="I36">
        <v>0</v>
      </c>
      <c r="J36">
        <v>0</v>
      </c>
      <c r="K36" t="s">
        <v>173</v>
      </c>
    </row>
    <row r="37" spans="1:11" x14ac:dyDescent="0.3">
      <c r="A37" t="s">
        <v>240</v>
      </c>
      <c r="B37">
        <v>12</v>
      </c>
      <c r="C37">
        <v>24</v>
      </c>
      <c r="D37">
        <v>14</v>
      </c>
      <c r="E37" t="b">
        <v>1</v>
      </c>
      <c r="F37" t="b">
        <v>1</v>
      </c>
      <c r="G37">
        <v>7</v>
      </c>
      <c r="H37" t="b">
        <v>1</v>
      </c>
      <c r="I37">
        <v>7</v>
      </c>
      <c r="J37">
        <v>14</v>
      </c>
      <c r="K37" t="s">
        <v>241</v>
      </c>
    </row>
    <row r="38" spans="1:11" x14ac:dyDescent="0.3">
      <c r="A38" t="s">
        <v>254</v>
      </c>
      <c r="B38">
        <v>16</v>
      </c>
      <c r="C38">
        <v>24</v>
      </c>
      <c r="D38">
        <v>10</v>
      </c>
      <c r="E38" t="b">
        <v>0</v>
      </c>
      <c r="F38" t="b">
        <v>0</v>
      </c>
      <c r="G38">
        <v>0</v>
      </c>
      <c r="H38" t="b">
        <v>0</v>
      </c>
      <c r="I38">
        <v>0</v>
      </c>
      <c r="J38">
        <v>0</v>
      </c>
      <c r="K38" t="s">
        <v>173</v>
      </c>
    </row>
    <row r="39" spans="1:11" x14ac:dyDescent="0.3">
      <c r="A39" t="s">
        <v>295</v>
      </c>
      <c r="B39">
        <v>12</v>
      </c>
      <c r="C39">
        <v>24</v>
      </c>
      <c r="D39">
        <v>14</v>
      </c>
      <c r="E39" t="b">
        <v>1</v>
      </c>
      <c r="F39" t="b">
        <v>1</v>
      </c>
      <c r="G39">
        <v>7</v>
      </c>
      <c r="H39" t="b">
        <v>1</v>
      </c>
      <c r="I39">
        <v>7</v>
      </c>
      <c r="J39">
        <v>15</v>
      </c>
      <c r="K39" t="s">
        <v>241</v>
      </c>
    </row>
    <row r="40" spans="1:11" x14ac:dyDescent="0.3">
      <c r="A40" t="s">
        <v>196</v>
      </c>
      <c r="B40">
        <v>12</v>
      </c>
      <c r="C40">
        <v>25</v>
      </c>
      <c r="D40">
        <v>15</v>
      </c>
      <c r="E40" t="b">
        <v>0</v>
      </c>
      <c r="F40" t="b">
        <v>0</v>
      </c>
      <c r="G40">
        <v>0</v>
      </c>
      <c r="H40" t="b">
        <v>0</v>
      </c>
      <c r="I40">
        <v>0</v>
      </c>
      <c r="J40">
        <v>0</v>
      </c>
      <c r="K40" t="s">
        <v>173</v>
      </c>
    </row>
    <row r="41" spans="1:11" x14ac:dyDescent="0.3">
      <c r="A41" t="s">
        <v>231</v>
      </c>
      <c r="B41">
        <v>11</v>
      </c>
      <c r="C41">
        <v>25</v>
      </c>
      <c r="D41">
        <v>16</v>
      </c>
      <c r="E41" t="b">
        <v>0</v>
      </c>
      <c r="F41" t="b">
        <v>0</v>
      </c>
      <c r="G41">
        <v>0</v>
      </c>
      <c r="H41" t="b">
        <v>0</v>
      </c>
      <c r="I41">
        <v>0</v>
      </c>
      <c r="J41">
        <v>0</v>
      </c>
      <c r="K41" t="s">
        <v>173</v>
      </c>
    </row>
    <row r="42" spans="1:11" x14ac:dyDescent="0.3">
      <c r="A42" t="s">
        <v>266</v>
      </c>
      <c r="B42">
        <v>15</v>
      </c>
      <c r="C42">
        <v>25</v>
      </c>
      <c r="D42">
        <v>12</v>
      </c>
      <c r="E42" t="b">
        <v>0</v>
      </c>
      <c r="F42" t="b">
        <v>0</v>
      </c>
      <c r="G42">
        <v>0</v>
      </c>
      <c r="H42" t="b">
        <v>0</v>
      </c>
      <c r="I42">
        <v>0</v>
      </c>
      <c r="J42">
        <v>0</v>
      </c>
      <c r="K42" t="s">
        <v>173</v>
      </c>
    </row>
    <row r="43" spans="1:11" x14ac:dyDescent="0.3">
      <c r="A43" t="s">
        <v>176</v>
      </c>
      <c r="B43">
        <v>11</v>
      </c>
      <c r="C43">
        <v>26</v>
      </c>
      <c r="D43">
        <v>17</v>
      </c>
      <c r="E43" t="b">
        <v>0</v>
      </c>
      <c r="F43" t="b">
        <v>0</v>
      </c>
      <c r="G43">
        <v>0</v>
      </c>
      <c r="H43" t="b">
        <v>0</v>
      </c>
      <c r="I43">
        <v>0</v>
      </c>
      <c r="J43">
        <v>0</v>
      </c>
      <c r="K43" t="s">
        <v>173</v>
      </c>
    </row>
    <row r="44" spans="1:11" x14ac:dyDescent="0.3">
      <c r="A44" t="s">
        <v>186</v>
      </c>
      <c r="B44">
        <v>14</v>
      </c>
      <c r="C44">
        <v>26</v>
      </c>
      <c r="D44">
        <v>14</v>
      </c>
      <c r="E44" t="b">
        <v>0</v>
      </c>
      <c r="F44" t="b">
        <v>0</v>
      </c>
      <c r="G44">
        <v>0</v>
      </c>
      <c r="H44" t="b">
        <v>0</v>
      </c>
      <c r="I44">
        <v>0</v>
      </c>
      <c r="J44">
        <v>0</v>
      </c>
      <c r="K44" t="s">
        <v>173</v>
      </c>
    </row>
    <row r="45" spans="1:11" x14ac:dyDescent="0.3">
      <c r="A45" t="s">
        <v>246</v>
      </c>
      <c r="B45">
        <v>14</v>
      </c>
      <c r="C45">
        <v>26</v>
      </c>
      <c r="D45">
        <v>14</v>
      </c>
      <c r="E45" t="b">
        <v>0</v>
      </c>
      <c r="F45" t="b">
        <v>0</v>
      </c>
      <c r="G45">
        <v>0</v>
      </c>
      <c r="H45" t="b">
        <v>0</v>
      </c>
      <c r="I45">
        <v>0</v>
      </c>
      <c r="J45">
        <v>0</v>
      </c>
      <c r="K45" t="s">
        <v>173</v>
      </c>
    </row>
    <row r="46" spans="1:11" x14ac:dyDescent="0.3">
      <c r="A46" t="s">
        <v>258</v>
      </c>
      <c r="B46">
        <v>14</v>
      </c>
      <c r="C46">
        <v>26</v>
      </c>
      <c r="D46">
        <v>14</v>
      </c>
      <c r="E46" t="b">
        <v>0</v>
      </c>
      <c r="F46" t="b">
        <v>0</v>
      </c>
      <c r="G46">
        <v>0</v>
      </c>
      <c r="H46" t="b">
        <v>0</v>
      </c>
      <c r="I46">
        <v>0</v>
      </c>
      <c r="J46">
        <v>0</v>
      </c>
      <c r="K46" t="s">
        <v>173</v>
      </c>
    </row>
    <row r="47" spans="1:11" x14ac:dyDescent="0.3">
      <c r="A47" t="s">
        <v>181</v>
      </c>
      <c r="B47">
        <v>15</v>
      </c>
      <c r="C47">
        <v>27</v>
      </c>
      <c r="D47">
        <v>14</v>
      </c>
      <c r="E47" t="b">
        <v>0</v>
      </c>
      <c r="F47" t="b">
        <v>0</v>
      </c>
      <c r="G47">
        <v>0</v>
      </c>
      <c r="H47" t="b">
        <v>0</v>
      </c>
      <c r="I47">
        <v>0</v>
      </c>
      <c r="J47">
        <v>0</v>
      </c>
      <c r="K47" t="s">
        <v>173</v>
      </c>
    </row>
    <row r="48" spans="1:11" x14ac:dyDescent="0.3">
      <c r="A48" t="s">
        <v>217</v>
      </c>
      <c r="B48">
        <v>15</v>
      </c>
      <c r="C48">
        <v>27</v>
      </c>
      <c r="D48">
        <v>14</v>
      </c>
      <c r="E48" t="b">
        <v>0</v>
      </c>
      <c r="F48" t="b">
        <v>0</v>
      </c>
      <c r="G48">
        <v>0</v>
      </c>
      <c r="H48" t="b">
        <v>0</v>
      </c>
      <c r="I48">
        <v>0</v>
      </c>
      <c r="J48">
        <v>0</v>
      </c>
      <c r="K48" t="s">
        <v>173</v>
      </c>
    </row>
    <row r="49" spans="1:11" x14ac:dyDescent="0.3">
      <c r="A49" t="s">
        <v>283</v>
      </c>
      <c r="B49">
        <v>12</v>
      </c>
      <c r="C49">
        <v>28</v>
      </c>
      <c r="D49">
        <v>18</v>
      </c>
      <c r="E49" t="b">
        <v>0</v>
      </c>
      <c r="F49" t="b">
        <v>0</v>
      </c>
      <c r="G49">
        <v>0</v>
      </c>
      <c r="H49" t="b">
        <v>0</v>
      </c>
      <c r="I49">
        <v>0</v>
      </c>
      <c r="J49">
        <v>0</v>
      </c>
      <c r="K49" t="s">
        <v>173</v>
      </c>
    </row>
    <row r="50" spans="1:11" x14ac:dyDescent="0.3">
      <c r="A50" t="s">
        <v>192</v>
      </c>
      <c r="B50">
        <v>20</v>
      </c>
      <c r="C50">
        <v>30</v>
      </c>
      <c r="D50">
        <v>12</v>
      </c>
      <c r="E50" t="b">
        <v>0</v>
      </c>
      <c r="F50" t="b">
        <v>0</v>
      </c>
      <c r="G50">
        <v>0</v>
      </c>
      <c r="H50" t="b">
        <v>0</v>
      </c>
      <c r="I50">
        <v>0</v>
      </c>
      <c r="J50">
        <v>0</v>
      </c>
      <c r="K50" t="s">
        <v>173</v>
      </c>
    </row>
    <row r="51" spans="1:11" x14ac:dyDescent="0.3">
      <c r="A51" t="s">
        <v>195</v>
      </c>
      <c r="B51">
        <v>20</v>
      </c>
      <c r="C51">
        <v>30</v>
      </c>
      <c r="D51">
        <v>12</v>
      </c>
      <c r="E51" t="b">
        <v>0</v>
      </c>
      <c r="F51" t="b">
        <v>0</v>
      </c>
      <c r="G51">
        <v>0</v>
      </c>
      <c r="H51" t="b">
        <v>0</v>
      </c>
      <c r="I51">
        <v>0</v>
      </c>
      <c r="J51">
        <v>0</v>
      </c>
      <c r="K51" t="s">
        <v>173</v>
      </c>
    </row>
    <row r="52" spans="1:11" x14ac:dyDescent="0.3">
      <c r="A52" t="s">
        <v>243</v>
      </c>
      <c r="B52">
        <v>12</v>
      </c>
      <c r="C52">
        <v>30</v>
      </c>
      <c r="D52">
        <v>20</v>
      </c>
      <c r="E52" t="b">
        <v>0</v>
      </c>
      <c r="F52" t="b">
        <v>0</v>
      </c>
      <c r="G52">
        <v>0</v>
      </c>
      <c r="H52" t="b">
        <v>0</v>
      </c>
      <c r="I52">
        <v>0</v>
      </c>
      <c r="J52">
        <v>0</v>
      </c>
      <c r="K52" t="s">
        <v>173</v>
      </c>
    </row>
    <row r="53" spans="1:11" x14ac:dyDescent="0.3">
      <c r="A53" t="s">
        <v>298</v>
      </c>
      <c r="B53">
        <v>15</v>
      </c>
      <c r="C53">
        <v>30</v>
      </c>
      <c r="D53">
        <v>17</v>
      </c>
      <c r="E53" t="b">
        <v>1</v>
      </c>
      <c r="F53" t="b">
        <v>1</v>
      </c>
      <c r="G53">
        <v>9</v>
      </c>
      <c r="H53" t="b">
        <v>1</v>
      </c>
      <c r="I53">
        <v>9</v>
      </c>
      <c r="J53">
        <v>17</v>
      </c>
      <c r="K53" t="s">
        <v>221</v>
      </c>
    </row>
    <row r="54" spans="1:11" x14ac:dyDescent="0.3">
      <c r="A54" t="s">
        <v>253</v>
      </c>
      <c r="B54">
        <v>16</v>
      </c>
      <c r="C54">
        <v>32</v>
      </c>
      <c r="D54">
        <v>18</v>
      </c>
      <c r="E54" t="b">
        <v>1</v>
      </c>
      <c r="F54" t="b">
        <v>1</v>
      </c>
      <c r="G54">
        <v>9</v>
      </c>
      <c r="H54" t="b">
        <v>1</v>
      </c>
      <c r="I54">
        <v>9</v>
      </c>
      <c r="J54">
        <v>18</v>
      </c>
      <c r="K54" t="s">
        <v>221</v>
      </c>
    </row>
    <row r="55" spans="1:11" x14ac:dyDescent="0.3">
      <c r="A55" t="s">
        <v>287</v>
      </c>
      <c r="B55">
        <v>16</v>
      </c>
      <c r="C55">
        <v>32</v>
      </c>
      <c r="D55">
        <v>18</v>
      </c>
      <c r="E55" t="b">
        <v>1</v>
      </c>
      <c r="F55" t="b">
        <v>1</v>
      </c>
      <c r="G55">
        <v>10</v>
      </c>
      <c r="H55" t="b">
        <v>1</v>
      </c>
      <c r="I55">
        <v>8</v>
      </c>
      <c r="J55">
        <v>19</v>
      </c>
      <c r="K55" t="s">
        <v>288</v>
      </c>
    </row>
    <row r="56" spans="1:11" x14ac:dyDescent="0.3">
      <c r="A56" t="s">
        <v>289</v>
      </c>
      <c r="B56">
        <v>16</v>
      </c>
      <c r="C56">
        <v>32</v>
      </c>
      <c r="D56">
        <v>18</v>
      </c>
      <c r="E56" t="b">
        <v>1</v>
      </c>
      <c r="F56" t="b">
        <v>1</v>
      </c>
      <c r="G56">
        <v>9</v>
      </c>
      <c r="H56" t="b">
        <v>1</v>
      </c>
      <c r="I56">
        <v>9</v>
      </c>
      <c r="J56">
        <v>19</v>
      </c>
      <c r="K56" t="s">
        <v>221</v>
      </c>
    </row>
    <row r="57" spans="1:11" x14ac:dyDescent="0.3">
      <c r="A57" t="s">
        <v>238</v>
      </c>
      <c r="B57">
        <v>15</v>
      </c>
      <c r="C57">
        <v>33</v>
      </c>
      <c r="D57">
        <v>20</v>
      </c>
      <c r="E57" t="b">
        <v>0</v>
      </c>
      <c r="F57" t="b">
        <v>0</v>
      </c>
      <c r="G57">
        <v>0</v>
      </c>
      <c r="H57" t="b">
        <v>0</v>
      </c>
      <c r="I57">
        <v>0</v>
      </c>
      <c r="J57">
        <v>0</v>
      </c>
      <c r="K57" t="s">
        <v>173</v>
      </c>
    </row>
    <row r="58" spans="1:11" x14ac:dyDescent="0.3">
      <c r="A58" t="s">
        <v>239</v>
      </c>
      <c r="B58">
        <v>14</v>
      </c>
      <c r="C58">
        <v>33</v>
      </c>
      <c r="D58">
        <v>21</v>
      </c>
      <c r="E58" t="b">
        <v>0</v>
      </c>
      <c r="F58" t="b">
        <v>0</v>
      </c>
      <c r="G58">
        <v>0</v>
      </c>
      <c r="H58" t="b">
        <v>0</v>
      </c>
      <c r="I58">
        <v>0</v>
      </c>
      <c r="J58">
        <v>0</v>
      </c>
      <c r="K58" t="s">
        <v>173</v>
      </c>
    </row>
    <row r="59" spans="1:11" x14ac:dyDescent="0.3">
      <c r="A59" t="s">
        <v>172</v>
      </c>
      <c r="B59">
        <v>21</v>
      </c>
      <c r="C59">
        <v>35</v>
      </c>
      <c r="D59">
        <v>16</v>
      </c>
      <c r="E59" t="b">
        <v>0</v>
      </c>
      <c r="F59" t="b">
        <v>0</v>
      </c>
      <c r="G59">
        <v>0</v>
      </c>
      <c r="H59" t="b">
        <v>0</v>
      </c>
      <c r="I59">
        <v>0</v>
      </c>
      <c r="J59">
        <v>0</v>
      </c>
      <c r="K59" t="s">
        <v>173</v>
      </c>
    </row>
    <row r="60" spans="1:11" x14ac:dyDescent="0.3">
      <c r="A60" t="s">
        <v>274</v>
      </c>
      <c r="B60">
        <v>20</v>
      </c>
      <c r="C60">
        <v>35</v>
      </c>
      <c r="D60">
        <v>17</v>
      </c>
      <c r="E60" t="b">
        <v>0</v>
      </c>
      <c r="F60" t="b">
        <v>0</v>
      </c>
      <c r="G60">
        <v>0</v>
      </c>
      <c r="H60" t="b">
        <v>0</v>
      </c>
      <c r="I60">
        <v>0</v>
      </c>
      <c r="J60">
        <v>0</v>
      </c>
      <c r="K60" t="s">
        <v>173</v>
      </c>
    </row>
    <row r="61" spans="1:11" x14ac:dyDescent="0.3">
      <c r="A61" t="s">
        <v>212</v>
      </c>
      <c r="B61">
        <v>20</v>
      </c>
      <c r="C61">
        <v>36</v>
      </c>
      <c r="D61">
        <v>18</v>
      </c>
      <c r="E61" t="b">
        <v>0</v>
      </c>
      <c r="F61" t="b">
        <v>0</v>
      </c>
      <c r="G61">
        <v>0</v>
      </c>
      <c r="H61" t="b">
        <v>0</v>
      </c>
      <c r="I61">
        <v>0</v>
      </c>
      <c r="J61">
        <v>0</v>
      </c>
      <c r="K61" t="s">
        <v>173</v>
      </c>
    </row>
    <row r="62" spans="1:11" x14ac:dyDescent="0.3">
      <c r="A62" t="s">
        <v>218</v>
      </c>
      <c r="B62">
        <v>18</v>
      </c>
      <c r="C62">
        <v>36</v>
      </c>
      <c r="D62">
        <v>20</v>
      </c>
      <c r="E62" t="b">
        <v>1</v>
      </c>
      <c r="F62" t="b">
        <v>1</v>
      </c>
      <c r="G62">
        <v>10</v>
      </c>
      <c r="H62" t="b">
        <v>1</v>
      </c>
      <c r="I62">
        <v>10</v>
      </c>
      <c r="J62">
        <v>20</v>
      </c>
      <c r="K62" t="s">
        <v>219</v>
      </c>
    </row>
    <row r="63" spans="1:11" x14ac:dyDescent="0.3">
      <c r="A63" t="s">
        <v>220</v>
      </c>
      <c r="B63">
        <v>18</v>
      </c>
      <c r="C63">
        <v>36</v>
      </c>
      <c r="D63">
        <v>20</v>
      </c>
      <c r="E63" t="b">
        <v>1</v>
      </c>
      <c r="F63" t="b">
        <v>1</v>
      </c>
      <c r="G63">
        <v>11</v>
      </c>
      <c r="H63" t="b">
        <v>1</v>
      </c>
      <c r="I63">
        <v>9</v>
      </c>
      <c r="J63">
        <v>20</v>
      </c>
      <c r="K63" t="s">
        <v>221</v>
      </c>
    </row>
    <row r="64" spans="1:11" x14ac:dyDescent="0.3">
      <c r="A64" t="s">
        <v>294</v>
      </c>
      <c r="B64">
        <v>18</v>
      </c>
      <c r="C64">
        <v>36</v>
      </c>
      <c r="D64">
        <v>20</v>
      </c>
      <c r="E64" t="b">
        <v>1</v>
      </c>
      <c r="F64" t="b">
        <v>1</v>
      </c>
      <c r="G64">
        <v>11</v>
      </c>
      <c r="H64" t="b">
        <v>1</v>
      </c>
      <c r="I64">
        <v>11</v>
      </c>
      <c r="J64">
        <v>20</v>
      </c>
      <c r="K64" t="s">
        <v>191</v>
      </c>
    </row>
    <row r="65" spans="1:11" x14ac:dyDescent="0.3">
      <c r="A65" t="s">
        <v>305</v>
      </c>
      <c r="B65">
        <v>24</v>
      </c>
      <c r="C65">
        <v>36</v>
      </c>
      <c r="D65">
        <v>14</v>
      </c>
      <c r="E65" t="b">
        <v>0</v>
      </c>
      <c r="F65" t="b">
        <v>0</v>
      </c>
      <c r="G65">
        <v>0</v>
      </c>
      <c r="H65" t="b">
        <v>0</v>
      </c>
      <c r="I65">
        <v>0</v>
      </c>
      <c r="J65">
        <v>0</v>
      </c>
      <c r="K65" t="s">
        <v>173</v>
      </c>
    </row>
    <row r="66" spans="1:11" x14ac:dyDescent="0.3">
      <c r="A66" t="s">
        <v>310</v>
      </c>
      <c r="B66">
        <v>24</v>
      </c>
      <c r="C66">
        <v>36</v>
      </c>
      <c r="D66">
        <v>14</v>
      </c>
      <c r="E66" t="b">
        <v>0</v>
      </c>
      <c r="F66" t="b">
        <v>0</v>
      </c>
      <c r="G66">
        <v>0</v>
      </c>
      <c r="H66" t="b">
        <v>0</v>
      </c>
      <c r="I66">
        <v>0</v>
      </c>
      <c r="J66">
        <v>0</v>
      </c>
      <c r="K66" t="s">
        <v>173</v>
      </c>
    </row>
    <row r="67" spans="1:11" x14ac:dyDescent="0.3">
      <c r="A67" t="s">
        <v>194</v>
      </c>
      <c r="B67">
        <v>16</v>
      </c>
      <c r="C67">
        <v>38</v>
      </c>
      <c r="D67">
        <v>24</v>
      </c>
      <c r="E67" t="b">
        <v>0</v>
      </c>
      <c r="F67" t="b">
        <v>0</v>
      </c>
      <c r="G67">
        <v>0</v>
      </c>
      <c r="H67" t="b">
        <v>0</v>
      </c>
      <c r="I67">
        <v>0</v>
      </c>
      <c r="J67">
        <v>0</v>
      </c>
      <c r="K67" t="s">
        <v>173</v>
      </c>
    </row>
    <row r="68" spans="1:11" x14ac:dyDescent="0.3">
      <c r="A68" t="s">
        <v>190</v>
      </c>
      <c r="B68">
        <v>20</v>
      </c>
      <c r="C68">
        <v>40</v>
      </c>
      <c r="D68">
        <v>22</v>
      </c>
      <c r="E68" t="b">
        <v>1</v>
      </c>
      <c r="F68" t="b">
        <v>1</v>
      </c>
      <c r="G68">
        <v>11</v>
      </c>
      <c r="H68" t="b">
        <v>1</v>
      </c>
      <c r="I68">
        <v>11</v>
      </c>
      <c r="J68">
        <v>22</v>
      </c>
      <c r="K68" t="s">
        <v>191</v>
      </c>
    </row>
    <row r="69" spans="1:11" x14ac:dyDescent="0.3">
      <c r="A69" t="s">
        <v>245</v>
      </c>
      <c r="B69">
        <v>22</v>
      </c>
      <c r="C69">
        <v>40</v>
      </c>
      <c r="D69">
        <v>20</v>
      </c>
      <c r="E69" t="b">
        <v>0</v>
      </c>
      <c r="F69" t="b">
        <v>0</v>
      </c>
      <c r="G69">
        <v>0</v>
      </c>
      <c r="H69" t="b">
        <v>0</v>
      </c>
      <c r="I69">
        <v>0</v>
      </c>
      <c r="J69">
        <v>0</v>
      </c>
      <c r="K69" t="s">
        <v>173</v>
      </c>
    </row>
    <row r="70" spans="1:11" x14ac:dyDescent="0.3">
      <c r="A70" t="s">
        <v>257</v>
      </c>
      <c r="B70">
        <v>22</v>
      </c>
      <c r="C70">
        <v>40</v>
      </c>
      <c r="D70">
        <v>20</v>
      </c>
      <c r="E70" t="b">
        <v>0</v>
      </c>
      <c r="F70" t="b">
        <v>0</v>
      </c>
      <c r="G70">
        <v>0</v>
      </c>
      <c r="H70" t="b">
        <v>0</v>
      </c>
      <c r="I70">
        <v>0</v>
      </c>
      <c r="J70">
        <v>0</v>
      </c>
      <c r="K70" t="s">
        <v>173</v>
      </c>
    </row>
    <row r="71" spans="1:11" x14ac:dyDescent="0.3">
      <c r="A71" t="s">
        <v>267</v>
      </c>
      <c r="B71">
        <v>20</v>
      </c>
      <c r="C71">
        <v>40</v>
      </c>
      <c r="D71">
        <v>22</v>
      </c>
      <c r="E71" t="b">
        <v>1</v>
      </c>
      <c r="F71" t="b">
        <v>1</v>
      </c>
      <c r="G71">
        <v>12</v>
      </c>
      <c r="H71" t="b">
        <v>1</v>
      </c>
      <c r="I71">
        <v>10</v>
      </c>
      <c r="J71">
        <v>22</v>
      </c>
      <c r="K71" t="s">
        <v>219</v>
      </c>
    </row>
    <row r="72" spans="1:11" x14ac:dyDescent="0.3">
      <c r="A72" t="s">
        <v>269</v>
      </c>
      <c r="B72">
        <v>20</v>
      </c>
      <c r="C72">
        <v>40</v>
      </c>
      <c r="D72">
        <v>22</v>
      </c>
      <c r="E72" t="b">
        <v>1</v>
      </c>
      <c r="F72" t="b">
        <v>1</v>
      </c>
      <c r="G72">
        <v>11</v>
      </c>
      <c r="H72" t="b">
        <v>1</v>
      </c>
      <c r="I72">
        <v>11</v>
      </c>
      <c r="J72">
        <v>22</v>
      </c>
      <c r="K72" t="s">
        <v>191</v>
      </c>
    </row>
    <row r="73" spans="1:11" x14ac:dyDescent="0.3">
      <c r="A73" t="s">
        <v>281</v>
      </c>
      <c r="B73">
        <v>16</v>
      </c>
      <c r="C73">
        <v>40</v>
      </c>
      <c r="D73">
        <v>26</v>
      </c>
      <c r="E73" t="b">
        <v>0</v>
      </c>
      <c r="F73" t="b">
        <v>0</v>
      </c>
      <c r="G73">
        <v>0</v>
      </c>
      <c r="H73" t="b">
        <v>0</v>
      </c>
      <c r="I73">
        <v>0</v>
      </c>
      <c r="J73">
        <v>0</v>
      </c>
      <c r="K73" t="s">
        <v>173</v>
      </c>
    </row>
    <row r="74" spans="1:11" x14ac:dyDescent="0.3">
      <c r="A74" t="s">
        <v>237</v>
      </c>
      <c r="B74">
        <v>18</v>
      </c>
      <c r="C74">
        <v>42</v>
      </c>
      <c r="D74">
        <v>26</v>
      </c>
      <c r="E74" t="b">
        <v>0</v>
      </c>
      <c r="F74" t="b">
        <v>0</v>
      </c>
      <c r="G74">
        <v>0</v>
      </c>
      <c r="H74" t="b">
        <v>0</v>
      </c>
      <c r="I74">
        <v>0</v>
      </c>
      <c r="J74">
        <v>0</v>
      </c>
      <c r="K74" t="s">
        <v>173</v>
      </c>
    </row>
    <row r="75" spans="1:11" x14ac:dyDescent="0.3">
      <c r="A75" t="s">
        <v>235</v>
      </c>
      <c r="B75">
        <v>20</v>
      </c>
      <c r="C75">
        <v>44</v>
      </c>
      <c r="D75">
        <v>26</v>
      </c>
      <c r="E75" t="b">
        <v>0</v>
      </c>
      <c r="F75" t="b">
        <v>0</v>
      </c>
      <c r="G75">
        <v>0</v>
      </c>
      <c r="H75" t="b">
        <v>0</v>
      </c>
      <c r="I75">
        <v>0</v>
      </c>
      <c r="J75">
        <v>0</v>
      </c>
      <c r="K75" t="s">
        <v>173</v>
      </c>
    </row>
    <row r="76" spans="1:11" x14ac:dyDescent="0.3">
      <c r="A76" t="s">
        <v>197</v>
      </c>
      <c r="B76">
        <v>25</v>
      </c>
      <c r="C76">
        <v>45</v>
      </c>
      <c r="D76">
        <v>22</v>
      </c>
      <c r="E76" t="b">
        <v>0</v>
      </c>
      <c r="F76" t="b">
        <v>0</v>
      </c>
      <c r="G76">
        <v>0</v>
      </c>
      <c r="H76" t="b">
        <v>0</v>
      </c>
      <c r="I76">
        <v>0</v>
      </c>
      <c r="J76">
        <v>0</v>
      </c>
      <c r="K76" t="s">
        <v>173</v>
      </c>
    </row>
    <row r="77" spans="1:11" x14ac:dyDescent="0.3">
      <c r="A77" t="s">
        <v>297</v>
      </c>
      <c r="B77">
        <v>23</v>
      </c>
      <c r="C77">
        <v>45</v>
      </c>
      <c r="D77">
        <v>24</v>
      </c>
      <c r="E77" t="b">
        <v>0</v>
      </c>
      <c r="F77" t="b">
        <v>0</v>
      </c>
      <c r="G77">
        <v>0</v>
      </c>
      <c r="H77" t="b">
        <v>0</v>
      </c>
      <c r="I77">
        <v>0</v>
      </c>
      <c r="J77">
        <v>0</v>
      </c>
      <c r="K77" t="s">
        <v>173</v>
      </c>
    </row>
    <row r="78" spans="1:11" x14ac:dyDescent="0.3">
      <c r="A78" t="s">
        <v>179</v>
      </c>
      <c r="B78">
        <v>28</v>
      </c>
      <c r="C78">
        <v>48</v>
      </c>
      <c r="D78">
        <v>22</v>
      </c>
      <c r="E78" t="b">
        <v>0</v>
      </c>
      <c r="F78" t="b">
        <v>0</v>
      </c>
      <c r="G78">
        <v>0</v>
      </c>
      <c r="H78" t="b">
        <v>0</v>
      </c>
      <c r="I78">
        <v>0</v>
      </c>
      <c r="J78">
        <v>0</v>
      </c>
      <c r="K78" t="s">
        <v>173</v>
      </c>
    </row>
    <row r="79" spans="1:11" x14ac:dyDescent="0.3">
      <c r="A79" t="s">
        <v>213</v>
      </c>
      <c r="B79">
        <v>24</v>
      </c>
      <c r="C79">
        <v>48</v>
      </c>
      <c r="D79">
        <v>26</v>
      </c>
      <c r="E79" t="b">
        <v>1</v>
      </c>
      <c r="F79" t="b">
        <v>1</v>
      </c>
      <c r="G79">
        <v>13</v>
      </c>
      <c r="H79" t="b">
        <v>1</v>
      </c>
      <c r="I79">
        <v>13</v>
      </c>
      <c r="J79">
        <v>26</v>
      </c>
      <c r="K79" t="s">
        <v>214</v>
      </c>
    </row>
    <row r="80" spans="1:11" x14ac:dyDescent="0.3">
      <c r="A80" t="s">
        <v>276</v>
      </c>
      <c r="B80">
        <v>24</v>
      </c>
      <c r="C80">
        <v>48</v>
      </c>
      <c r="D80">
        <v>26</v>
      </c>
      <c r="E80" t="b">
        <v>1</v>
      </c>
      <c r="F80" t="b">
        <v>1</v>
      </c>
      <c r="G80">
        <v>14</v>
      </c>
      <c r="H80" t="b">
        <v>1</v>
      </c>
      <c r="I80">
        <v>12</v>
      </c>
      <c r="J80">
        <v>26</v>
      </c>
      <c r="K80" t="s">
        <v>277</v>
      </c>
    </row>
    <row r="81" spans="1:11" x14ac:dyDescent="0.3">
      <c r="A81" t="s">
        <v>268</v>
      </c>
      <c r="B81">
        <v>25</v>
      </c>
      <c r="C81">
        <v>50</v>
      </c>
      <c r="D81">
        <v>27</v>
      </c>
      <c r="E81" t="b">
        <v>1</v>
      </c>
      <c r="F81" t="b">
        <v>1</v>
      </c>
      <c r="G81">
        <v>12</v>
      </c>
      <c r="H81" t="b">
        <v>1</v>
      </c>
      <c r="I81">
        <v>15</v>
      </c>
      <c r="J81">
        <v>27</v>
      </c>
      <c r="K81" t="s">
        <v>204</v>
      </c>
    </row>
    <row r="82" spans="1:11" x14ac:dyDescent="0.3">
      <c r="A82" t="s">
        <v>271</v>
      </c>
      <c r="B82">
        <v>25</v>
      </c>
      <c r="C82">
        <v>50</v>
      </c>
      <c r="D82">
        <v>27</v>
      </c>
      <c r="E82" t="b">
        <v>1</v>
      </c>
      <c r="F82" t="b">
        <v>1</v>
      </c>
      <c r="G82">
        <v>16</v>
      </c>
      <c r="H82" t="b">
        <v>1</v>
      </c>
      <c r="I82">
        <v>11</v>
      </c>
      <c r="J82">
        <v>27</v>
      </c>
      <c r="K82" t="s">
        <v>191</v>
      </c>
    </row>
    <row r="83" spans="1:11" x14ac:dyDescent="0.3">
      <c r="A83" t="s">
        <v>209</v>
      </c>
      <c r="B83">
        <v>30</v>
      </c>
      <c r="C83">
        <v>55</v>
      </c>
      <c r="D83">
        <v>27</v>
      </c>
      <c r="E83" t="b">
        <v>0</v>
      </c>
      <c r="F83" t="b">
        <v>0</v>
      </c>
      <c r="G83">
        <v>0</v>
      </c>
      <c r="H83" t="b">
        <v>0</v>
      </c>
      <c r="I83">
        <v>0</v>
      </c>
      <c r="J83">
        <v>0</v>
      </c>
      <c r="K83" t="s">
        <v>173</v>
      </c>
    </row>
    <row r="84" spans="1:11" x14ac:dyDescent="0.3">
      <c r="A84" t="s">
        <v>229</v>
      </c>
      <c r="B84">
        <v>25</v>
      </c>
      <c r="C84">
        <v>55</v>
      </c>
      <c r="D84">
        <v>32</v>
      </c>
      <c r="E84" t="b">
        <v>0</v>
      </c>
      <c r="F84" t="b">
        <v>0</v>
      </c>
      <c r="G84">
        <v>0</v>
      </c>
      <c r="H84" t="b">
        <v>0</v>
      </c>
      <c r="I84">
        <v>0</v>
      </c>
      <c r="J84">
        <v>0</v>
      </c>
      <c r="K84" t="s">
        <v>173</v>
      </c>
    </row>
    <row r="85" spans="1:11" x14ac:dyDescent="0.3">
      <c r="A85" t="s">
        <v>233</v>
      </c>
      <c r="B85">
        <v>24</v>
      </c>
      <c r="C85">
        <v>56</v>
      </c>
      <c r="D85">
        <v>34</v>
      </c>
      <c r="E85" t="b">
        <v>0</v>
      </c>
      <c r="F85" t="b">
        <v>0</v>
      </c>
      <c r="G85">
        <v>0</v>
      </c>
      <c r="H85" t="b">
        <v>0</v>
      </c>
      <c r="I85">
        <v>0</v>
      </c>
      <c r="J85">
        <v>0</v>
      </c>
      <c r="K85" t="s">
        <v>173</v>
      </c>
    </row>
    <row r="86" spans="1:11" x14ac:dyDescent="0.3">
      <c r="A86" t="s">
        <v>184</v>
      </c>
      <c r="B86">
        <v>32</v>
      </c>
      <c r="C86">
        <v>60</v>
      </c>
      <c r="D86">
        <v>30</v>
      </c>
      <c r="E86" t="b">
        <v>0</v>
      </c>
      <c r="F86" t="b">
        <v>0</v>
      </c>
      <c r="G86">
        <v>0</v>
      </c>
      <c r="H86" t="b">
        <v>0</v>
      </c>
      <c r="I86">
        <v>0</v>
      </c>
      <c r="J86">
        <v>0</v>
      </c>
      <c r="K86" t="s">
        <v>173</v>
      </c>
    </row>
    <row r="87" spans="1:11" x14ac:dyDescent="0.3">
      <c r="A87" t="s">
        <v>198</v>
      </c>
      <c r="B87">
        <v>30</v>
      </c>
      <c r="C87">
        <v>60</v>
      </c>
      <c r="D87">
        <v>32</v>
      </c>
      <c r="E87" t="b">
        <v>1</v>
      </c>
      <c r="F87" t="b">
        <v>1</v>
      </c>
      <c r="G87">
        <v>16</v>
      </c>
      <c r="H87" t="b">
        <v>1</v>
      </c>
      <c r="I87">
        <v>16</v>
      </c>
      <c r="J87">
        <v>32</v>
      </c>
      <c r="K87" t="s">
        <v>199</v>
      </c>
    </row>
    <row r="88" spans="1:11" x14ac:dyDescent="0.3">
      <c r="A88" t="s">
        <v>203</v>
      </c>
      <c r="B88">
        <v>30</v>
      </c>
      <c r="C88">
        <v>60</v>
      </c>
      <c r="D88">
        <v>32</v>
      </c>
      <c r="E88" t="b">
        <v>1</v>
      </c>
      <c r="F88" t="b">
        <v>1</v>
      </c>
      <c r="G88">
        <v>17</v>
      </c>
      <c r="H88" t="b">
        <v>1</v>
      </c>
      <c r="I88">
        <v>15</v>
      </c>
      <c r="J88">
        <v>32</v>
      </c>
      <c r="K88" t="s">
        <v>204</v>
      </c>
    </row>
    <row r="89" spans="1:11" x14ac:dyDescent="0.3">
      <c r="A89" t="s">
        <v>244</v>
      </c>
      <c r="B89">
        <v>30</v>
      </c>
      <c r="C89">
        <v>60</v>
      </c>
      <c r="D89">
        <v>32</v>
      </c>
      <c r="E89" t="b">
        <v>1</v>
      </c>
      <c r="F89" t="b">
        <v>1</v>
      </c>
      <c r="G89">
        <v>20</v>
      </c>
      <c r="H89" t="b">
        <v>1</v>
      </c>
      <c r="I89">
        <v>6</v>
      </c>
      <c r="J89">
        <v>38</v>
      </c>
      <c r="K89" t="s">
        <v>211</v>
      </c>
    </row>
    <row r="90" spans="1:11" x14ac:dyDescent="0.3">
      <c r="A90" t="s">
        <v>270</v>
      </c>
      <c r="B90">
        <v>30</v>
      </c>
      <c r="C90">
        <v>60</v>
      </c>
      <c r="D90">
        <v>32</v>
      </c>
      <c r="E90" t="b">
        <v>1</v>
      </c>
      <c r="F90" t="b">
        <v>1</v>
      </c>
      <c r="G90">
        <v>16</v>
      </c>
      <c r="H90" t="b">
        <v>1</v>
      </c>
      <c r="I90">
        <v>16</v>
      </c>
      <c r="J90">
        <v>33</v>
      </c>
      <c r="K90" t="s">
        <v>199</v>
      </c>
    </row>
    <row r="91" spans="1:11" x14ac:dyDescent="0.3">
      <c r="A91" t="s">
        <v>278</v>
      </c>
      <c r="B91">
        <v>24</v>
      </c>
      <c r="C91">
        <v>60</v>
      </c>
      <c r="D91">
        <v>38</v>
      </c>
      <c r="E91" t="b">
        <v>0</v>
      </c>
      <c r="F91" t="b">
        <v>0</v>
      </c>
      <c r="G91">
        <v>0</v>
      </c>
      <c r="H91" t="b">
        <v>0</v>
      </c>
      <c r="I91">
        <v>0</v>
      </c>
      <c r="J91">
        <v>0</v>
      </c>
      <c r="K91" t="s">
        <v>173</v>
      </c>
    </row>
    <row r="92" spans="1:11" x14ac:dyDescent="0.3">
      <c r="A92" t="s">
        <v>232</v>
      </c>
      <c r="B92">
        <v>30</v>
      </c>
      <c r="C92">
        <v>65</v>
      </c>
      <c r="D92">
        <v>37</v>
      </c>
      <c r="E92" t="b">
        <v>0</v>
      </c>
      <c r="F92" t="b">
        <v>0</v>
      </c>
      <c r="G92">
        <v>0</v>
      </c>
      <c r="H92" t="b">
        <v>0</v>
      </c>
      <c r="I92">
        <v>0</v>
      </c>
      <c r="J92">
        <v>0</v>
      </c>
      <c r="K92" t="s">
        <v>173</v>
      </c>
    </row>
    <row r="93" spans="1:11" x14ac:dyDescent="0.3">
      <c r="A93" t="s">
        <v>202</v>
      </c>
      <c r="B93">
        <v>35</v>
      </c>
      <c r="C93">
        <v>70</v>
      </c>
      <c r="D93">
        <v>37</v>
      </c>
      <c r="E93" t="b">
        <v>1</v>
      </c>
      <c r="F93" t="b">
        <v>1</v>
      </c>
      <c r="G93">
        <v>21</v>
      </c>
      <c r="H93" t="b">
        <v>1</v>
      </c>
      <c r="I93">
        <v>16</v>
      </c>
      <c r="J93">
        <v>37</v>
      </c>
      <c r="K93" t="s">
        <v>199</v>
      </c>
    </row>
    <row r="94" spans="1:11" x14ac:dyDescent="0.3">
      <c r="A94" t="s">
        <v>207</v>
      </c>
      <c r="B94">
        <v>35</v>
      </c>
      <c r="C94">
        <v>70</v>
      </c>
      <c r="D94">
        <v>37</v>
      </c>
      <c r="E94" t="b">
        <v>1</v>
      </c>
      <c r="F94" t="b">
        <v>1</v>
      </c>
      <c r="G94">
        <v>17</v>
      </c>
      <c r="H94" t="b">
        <v>1</v>
      </c>
      <c r="I94">
        <v>17</v>
      </c>
      <c r="J94">
        <v>37</v>
      </c>
      <c r="K94" t="s">
        <v>206</v>
      </c>
    </row>
    <row r="95" spans="1:11" x14ac:dyDescent="0.3">
      <c r="A95" t="s">
        <v>227</v>
      </c>
      <c r="B95">
        <v>30</v>
      </c>
      <c r="C95">
        <v>70</v>
      </c>
      <c r="D95">
        <v>42</v>
      </c>
      <c r="E95" t="b">
        <v>0</v>
      </c>
      <c r="F95" t="b">
        <v>0</v>
      </c>
      <c r="G95">
        <v>0</v>
      </c>
      <c r="H95" t="b">
        <v>0</v>
      </c>
      <c r="I95">
        <v>0</v>
      </c>
      <c r="J95">
        <v>0</v>
      </c>
      <c r="K95" t="s">
        <v>173</v>
      </c>
    </row>
    <row r="96" spans="1:11" x14ac:dyDescent="0.3">
      <c r="A96" t="s">
        <v>306</v>
      </c>
      <c r="B96">
        <v>48</v>
      </c>
      <c r="C96">
        <v>72</v>
      </c>
      <c r="D96">
        <v>26</v>
      </c>
      <c r="E96" t="b">
        <v>0</v>
      </c>
      <c r="F96" t="b">
        <v>0</v>
      </c>
      <c r="G96">
        <v>0</v>
      </c>
      <c r="H96" t="b">
        <v>0</v>
      </c>
      <c r="I96">
        <v>0</v>
      </c>
      <c r="J96">
        <v>0</v>
      </c>
      <c r="K96" t="s">
        <v>173</v>
      </c>
    </row>
    <row r="97" spans="1:11" x14ac:dyDescent="0.3">
      <c r="A97" t="s">
        <v>302</v>
      </c>
      <c r="B97">
        <v>45</v>
      </c>
      <c r="C97">
        <v>75</v>
      </c>
      <c r="D97">
        <v>32</v>
      </c>
      <c r="E97" t="b">
        <v>0</v>
      </c>
      <c r="F97" t="b">
        <v>0</v>
      </c>
      <c r="G97">
        <v>0</v>
      </c>
      <c r="H97" t="b">
        <v>0</v>
      </c>
      <c r="I97">
        <v>0</v>
      </c>
      <c r="J97">
        <v>0</v>
      </c>
      <c r="K97" t="s">
        <v>173</v>
      </c>
    </row>
    <row r="98" spans="1:11" x14ac:dyDescent="0.3">
      <c r="A98" t="s">
        <v>200</v>
      </c>
      <c r="B98">
        <v>40</v>
      </c>
      <c r="C98">
        <v>80</v>
      </c>
      <c r="D98">
        <v>42</v>
      </c>
      <c r="E98" t="b">
        <v>1</v>
      </c>
      <c r="F98" t="b">
        <v>1</v>
      </c>
      <c r="G98">
        <v>21</v>
      </c>
      <c r="H98" t="b">
        <v>1</v>
      </c>
      <c r="I98">
        <v>21</v>
      </c>
      <c r="J98">
        <v>42</v>
      </c>
      <c r="K98" t="s">
        <v>201</v>
      </c>
    </row>
    <row r="99" spans="1:11" x14ac:dyDescent="0.3">
      <c r="A99" t="s">
        <v>205</v>
      </c>
      <c r="B99">
        <v>40</v>
      </c>
      <c r="C99">
        <v>80</v>
      </c>
      <c r="D99">
        <v>42</v>
      </c>
      <c r="E99" t="b">
        <v>1</v>
      </c>
      <c r="F99" t="b">
        <v>1</v>
      </c>
      <c r="G99">
        <v>25</v>
      </c>
      <c r="H99" t="b">
        <v>1</v>
      </c>
      <c r="I99">
        <v>17</v>
      </c>
      <c r="J99">
        <v>42</v>
      </c>
      <c r="K99" t="s">
        <v>206</v>
      </c>
    </row>
    <row r="100" spans="1:11" x14ac:dyDescent="0.3">
      <c r="A100" t="s">
        <v>230</v>
      </c>
      <c r="B100">
        <v>35</v>
      </c>
      <c r="C100">
        <v>80</v>
      </c>
      <c r="D100">
        <v>47</v>
      </c>
      <c r="E100" t="b">
        <v>0</v>
      </c>
      <c r="F100" t="b">
        <v>0</v>
      </c>
      <c r="G100">
        <v>0</v>
      </c>
      <c r="H100" t="b">
        <v>0</v>
      </c>
      <c r="I100">
        <v>0</v>
      </c>
      <c r="J100">
        <v>0</v>
      </c>
      <c r="K100" t="s">
        <v>173</v>
      </c>
    </row>
    <row r="101" spans="1:11" x14ac:dyDescent="0.3">
      <c r="A101" t="s">
        <v>223</v>
      </c>
      <c r="B101">
        <v>50</v>
      </c>
      <c r="C101">
        <v>90</v>
      </c>
      <c r="D101">
        <v>42</v>
      </c>
      <c r="E101" t="b">
        <v>0</v>
      </c>
      <c r="F101" t="b">
        <v>0</v>
      </c>
      <c r="G101">
        <v>0</v>
      </c>
      <c r="H101" t="b">
        <v>0</v>
      </c>
      <c r="I101">
        <v>0</v>
      </c>
      <c r="J101">
        <v>0</v>
      </c>
      <c r="K101" t="s">
        <v>173</v>
      </c>
    </row>
    <row r="102" spans="1:11" x14ac:dyDescent="0.3">
      <c r="A102" t="s">
        <v>228</v>
      </c>
      <c r="B102">
        <v>40</v>
      </c>
      <c r="C102">
        <v>90</v>
      </c>
      <c r="D102">
        <v>52</v>
      </c>
      <c r="E102" t="b">
        <v>0</v>
      </c>
      <c r="F102" t="b">
        <v>0</v>
      </c>
      <c r="G102">
        <v>0</v>
      </c>
      <c r="H102" t="b">
        <v>0</v>
      </c>
      <c r="I102">
        <v>0</v>
      </c>
      <c r="J102">
        <v>0</v>
      </c>
      <c r="K102" t="s">
        <v>173</v>
      </c>
    </row>
    <row r="103" spans="1:11" x14ac:dyDescent="0.3">
      <c r="A103" t="s">
        <v>249</v>
      </c>
      <c r="B103">
        <v>50</v>
      </c>
      <c r="C103">
        <v>90</v>
      </c>
      <c r="D103">
        <v>42</v>
      </c>
      <c r="E103" t="b">
        <v>0</v>
      </c>
      <c r="F103" t="b">
        <v>0</v>
      </c>
      <c r="G103">
        <v>0</v>
      </c>
      <c r="H103" t="b">
        <v>0</v>
      </c>
      <c r="I103">
        <v>0</v>
      </c>
      <c r="J103">
        <v>0</v>
      </c>
      <c r="K103" t="s">
        <v>173</v>
      </c>
    </row>
    <row r="104" spans="1:11" x14ac:dyDescent="0.3">
      <c r="A104" t="s">
        <v>260</v>
      </c>
      <c r="B104">
        <v>50</v>
      </c>
      <c r="C104">
        <v>90</v>
      </c>
      <c r="D104">
        <v>42</v>
      </c>
      <c r="E104" t="b">
        <v>0</v>
      </c>
      <c r="F104" t="b">
        <v>0</v>
      </c>
      <c r="G104">
        <v>0</v>
      </c>
      <c r="H104" t="b">
        <v>0</v>
      </c>
      <c r="I104">
        <v>0</v>
      </c>
      <c r="J104">
        <v>0</v>
      </c>
      <c r="K104" t="s">
        <v>173</v>
      </c>
    </row>
    <row r="105" spans="1:11" x14ac:dyDescent="0.3">
      <c r="A105" t="s">
        <v>307</v>
      </c>
      <c r="B105">
        <v>60</v>
      </c>
      <c r="C105">
        <v>90</v>
      </c>
      <c r="D105">
        <v>32</v>
      </c>
      <c r="E105" t="b">
        <v>0</v>
      </c>
      <c r="F105" t="b">
        <v>0</v>
      </c>
      <c r="G105">
        <v>0</v>
      </c>
      <c r="H105" t="b">
        <v>0</v>
      </c>
      <c r="I105">
        <v>0</v>
      </c>
      <c r="J105">
        <v>0</v>
      </c>
      <c r="K105" t="s">
        <v>173</v>
      </c>
    </row>
    <row r="106" spans="1:11" x14ac:dyDescent="0.3">
      <c r="A106" t="s">
        <v>308</v>
      </c>
      <c r="B106">
        <v>60</v>
      </c>
      <c r="C106">
        <v>90</v>
      </c>
      <c r="D106">
        <v>32</v>
      </c>
      <c r="E106" t="b">
        <v>0</v>
      </c>
      <c r="F106" t="b">
        <v>0</v>
      </c>
      <c r="G106">
        <v>0</v>
      </c>
      <c r="H106" t="b">
        <v>0</v>
      </c>
      <c r="I106">
        <v>0</v>
      </c>
      <c r="J106">
        <v>0</v>
      </c>
      <c r="K106" t="s">
        <v>173</v>
      </c>
    </row>
    <row r="107" spans="1:11" x14ac:dyDescent="0.3">
      <c r="A107" t="s">
        <v>180</v>
      </c>
      <c r="B107">
        <v>65</v>
      </c>
      <c r="C107">
        <v>105</v>
      </c>
      <c r="D107">
        <v>42</v>
      </c>
      <c r="E107" t="b">
        <v>0</v>
      </c>
      <c r="F107" t="b">
        <v>0</v>
      </c>
      <c r="G107">
        <v>0</v>
      </c>
      <c r="H107" t="b">
        <v>0</v>
      </c>
      <c r="I107">
        <v>0</v>
      </c>
      <c r="J107">
        <v>0</v>
      </c>
      <c r="K107" t="s">
        <v>173</v>
      </c>
    </row>
    <row r="108" spans="1:11" x14ac:dyDescent="0.3">
      <c r="A108" t="s">
        <v>185</v>
      </c>
      <c r="B108">
        <v>55</v>
      </c>
      <c r="C108">
        <v>105</v>
      </c>
      <c r="D108">
        <v>52</v>
      </c>
      <c r="E108" t="b">
        <v>0</v>
      </c>
      <c r="F108" t="b">
        <v>0</v>
      </c>
      <c r="G108">
        <v>0</v>
      </c>
      <c r="H108" t="b">
        <v>0</v>
      </c>
      <c r="I108">
        <v>0</v>
      </c>
      <c r="J108">
        <v>0</v>
      </c>
      <c r="K108" t="s">
        <v>173</v>
      </c>
    </row>
    <row r="109" spans="1:11" x14ac:dyDescent="0.3">
      <c r="A109" t="s">
        <v>193</v>
      </c>
      <c r="B109">
        <v>55</v>
      </c>
      <c r="C109">
        <v>105</v>
      </c>
      <c r="D109">
        <v>52</v>
      </c>
      <c r="E109" t="b">
        <v>0</v>
      </c>
      <c r="F109" t="b">
        <v>0</v>
      </c>
      <c r="G109">
        <v>0</v>
      </c>
      <c r="H109" t="b">
        <v>0</v>
      </c>
      <c r="I109">
        <v>0</v>
      </c>
      <c r="J109">
        <v>0</v>
      </c>
      <c r="K109" t="s">
        <v>173</v>
      </c>
    </row>
    <row r="110" spans="1:11" x14ac:dyDescent="0.3">
      <c r="A110" t="s">
        <v>252</v>
      </c>
      <c r="B110">
        <v>55</v>
      </c>
      <c r="C110">
        <v>105</v>
      </c>
      <c r="D110">
        <v>52</v>
      </c>
      <c r="E110" t="b">
        <v>0</v>
      </c>
      <c r="F110" t="b">
        <v>0</v>
      </c>
      <c r="G110">
        <v>0</v>
      </c>
      <c r="H110" t="b">
        <v>0</v>
      </c>
      <c r="I110">
        <v>0</v>
      </c>
      <c r="J110">
        <v>0</v>
      </c>
      <c r="K110" t="s">
        <v>173</v>
      </c>
    </row>
    <row r="111" spans="1:11" x14ac:dyDescent="0.3">
      <c r="A111" t="s">
        <v>263</v>
      </c>
      <c r="B111">
        <v>55</v>
      </c>
      <c r="C111">
        <v>105</v>
      </c>
      <c r="D111">
        <v>52</v>
      </c>
      <c r="E111" t="b">
        <v>0</v>
      </c>
      <c r="F111" t="b">
        <v>0</v>
      </c>
      <c r="G111">
        <v>0</v>
      </c>
      <c r="H111" t="b">
        <v>0</v>
      </c>
      <c r="I111">
        <v>0</v>
      </c>
      <c r="J111">
        <v>0</v>
      </c>
      <c r="K111" t="s">
        <v>173</v>
      </c>
    </row>
    <row r="112" spans="1:11" x14ac:dyDescent="0.3">
      <c r="A112" t="s">
        <v>224</v>
      </c>
      <c r="B112">
        <v>60</v>
      </c>
      <c r="C112">
        <v>120</v>
      </c>
      <c r="D112">
        <v>62</v>
      </c>
      <c r="E112" t="b">
        <v>1</v>
      </c>
      <c r="F112" t="b">
        <v>1</v>
      </c>
      <c r="G112">
        <v>31</v>
      </c>
      <c r="H112" t="b">
        <v>1</v>
      </c>
      <c r="I112">
        <v>31</v>
      </c>
      <c r="J112">
        <v>62</v>
      </c>
      <c r="K112" t="s">
        <v>225</v>
      </c>
    </row>
    <row r="113" spans="1:11" x14ac:dyDescent="0.3">
      <c r="A113" t="s">
        <v>247</v>
      </c>
      <c r="B113">
        <v>70</v>
      </c>
      <c r="C113">
        <v>120</v>
      </c>
      <c r="D113">
        <v>52</v>
      </c>
      <c r="E113" t="b">
        <v>0</v>
      </c>
      <c r="F113" t="b">
        <v>0</v>
      </c>
      <c r="G113">
        <v>0</v>
      </c>
      <c r="H113" t="b">
        <v>0</v>
      </c>
      <c r="I113">
        <v>0</v>
      </c>
      <c r="J113">
        <v>0</v>
      </c>
      <c r="K113" t="s">
        <v>173</v>
      </c>
    </row>
    <row r="114" spans="1:11" x14ac:dyDescent="0.3">
      <c r="A114" t="s">
        <v>250</v>
      </c>
      <c r="B114">
        <v>60</v>
      </c>
      <c r="C114">
        <v>120</v>
      </c>
      <c r="D114">
        <v>62</v>
      </c>
      <c r="E114" t="b">
        <v>1</v>
      </c>
      <c r="F114" t="b">
        <v>1</v>
      </c>
      <c r="G114">
        <v>30</v>
      </c>
      <c r="H114" t="b">
        <v>1</v>
      </c>
      <c r="I114">
        <v>30</v>
      </c>
      <c r="J114">
        <v>62</v>
      </c>
      <c r="K114" t="s">
        <v>251</v>
      </c>
    </row>
    <row r="115" spans="1:11" x14ac:dyDescent="0.3">
      <c r="A115" t="s">
        <v>259</v>
      </c>
      <c r="B115">
        <v>70</v>
      </c>
      <c r="C115">
        <v>120</v>
      </c>
      <c r="D115">
        <v>52</v>
      </c>
      <c r="E115" t="b">
        <v>0</v>
      </c>
      <c r="F115" t="b">
        <v>0</v>
      </c>
      <c r="G115">
        <v>0</v>
      </c>
      <c r="H115" t="b">
        <v>0</v>
      </c>
      <c r="I115">
        <v>0</v>
      </c>
      <c r="J115">
        <v>0</v>
      </c>
      <c r="K115" t="s">
        <v>173</v>
      </c>
    </row>
    <row r="116" spans="1:11" x14ac:dyDescent="0.3">
      <c r="A116" t="s">
        <v>261</v>
      </c>
      <c r="B116">
        <v>60</v>
      </c>
      <c r="C116">
        <v>120</v>
      </c>
      <c r="D116">
        <v>62</v>
      </c>
      <c r="E116" t="b">
        <v>1</v>
      </c>
      <c r="F116" t="b">
        <v>1</v>
      </c>
      <c r="G116">
        <v>30</v>
      </c>
      <c r="H116" t="b">
        <v>1</v>
      </c>
      <c r="I116">
        <v>32</v>
      </c>
      <c r="J116">
        <v>62</v>
      </c>
      <c r="K116" t="s">
        <v>262</v>
      </c>
    </row>
    <row r="117" spans="1:11" x14ac:dyDescent="0.3">
      <c r="A117" t="s">
        <v>275</v>
      </c>
      <c r="B117">
        <v>60</v>
      </c>
      <c r="C117">
        <v>120</v>
      </c>
      <c r="D117">
        <v>62</v>
      </c>
      <c r="E117" t="b">
        <v>1</v>
      </c>
      <c r="F117" t="b">
        <v>1</v>
      </c>
      <c r="G117">
        <v>32</v>
      </c>
      <c r="H117" t="b">
        <v>1</v>
      </c>
      <c r="I117">
        <v>32</v>
      </c>
      <c r="J117">
        <v>62</v>
      </c>
      <c r="K117" t="s">
        <v>262</v>
      </c>
    </row>
    <row r="118" spans="1:11" x14ac:dyDescent="0.3">
      <c r="A118" t="s">
        <v>303</v>
      </c>
      <c r="B118">
        <v>60</v>
      </c>
      <c r="C118">
        <v>120</v>
      </c>
      <c r="D118">
        <v>62</v>
      </c>
      <c r="E118" t="b">
        <v>1</v>
      </c>
      <c r="F118" t="b">
        <v>1</v>
      </c>
      <c r="G118">
        <v>29</v>
      </c>
      <c r="H118" t="b">
        <v>1</v>
      </c>
      <c r="I118">
        <v>29</v>
      </c>
      <c r="J118">
        <v>62</v>
      </c>
      <c r="K118" t="s">
        <v>304</v>
      </c>
    </row>
    <row r="119" spans="1:11" x14ac:dyDescent="0.3">
      <c r="A119" t="s">
        <v>300</v>
      </c>
      <c r="B119">
        <v>75</v>
      </c>
      <c r="C119">
        <v>135</v>
      </c>
      <c r="D119">
        <v>62</v>
      </c>
      <c r="E119" t="b">
        <v>0</v>
      </c>
      <c r="F119" t="b">
        <v>0</v>
      </c>
      <c r="G119">
        <v>0</v>
      </c>
      <c r="H119" t="b">
        <v>0</v>
      </c>
      <c r="I119">
        <v>0</v>
      </c>
      <c r="J119">
        <v>0</v>
      </c>
      <c r="K119" t="s">
        <v>173</v>
      </c>
    </row>
    <row r="120" spans="1:11" x14ac:dyDescent="0.3">
      <c r="A120" t="s">
        <v>280</v>
      </c>
      <c r="B120">
        <v>60</v>
      </c>
      <c r="C120">
        <v>150</v>
      </c>
      <c r="D120">
        <v>92</v>
      </c>
      <c r="E120" t="b">
        <v>0</v>
      </c>
      <c r="F120" t="b">
        <v>0</v>
      </c>
      <c r="G120">
        <v>0</v>
      </c>
      <c r="H120" t="b">
        <v>0</v>
      </c>
      <c r="I120">
        <v>0</v>
      </c>
      <c r="J120">
        <v>0</v>
      </c>
      <c r="K120" t="s">
        <v>173</v>
      </c>
    </row>
    <row r="121" spans="1:11" x14ac:dyDescent="0.3">
      <c r="A121" t="s">
        <v>309</v>
      </c>
      <c r="B121">
        <v>120</v>
      </c>
      <c r="C121">
        <v>180</v>
      </c>
      <c r="D121">
        <v>62</v>
      </c>
      <c r="E121" t="b">
        <v>0</v>
      </c>
      <c r="F121" t="b">
        <v>0</v>
      </c>
      <c r="G121">
        <v>0</v>
      </c>
      <c r="H121" t="b">
        <v>0</v>
      </c>
      <c r="I121">
        <v>0</v>
      </c>
      <c r="J121">
        <v>0</v>
      </c>
      <c r="K121" t="s">
        <v>173</v>
      </c>
    </row>
  </sheetData>
  <autoFilter ref="A1:K1" xr:uid="{FBAFC241-1F42-46DE-8A6D-E2B57F73A42E}">
    <sortState xmlns:xlrd2="http://schemas.microsoft.com/office/spreadsheetml/2017/richdata2" ref="A2:K12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13E5-AB2B-4180-8A79-D3EADA588991}">
  <sheetPr filterMode="1"/>
  <dimension ref="A1:N124"/>
  <sheetViews>
    <sheetView workbookViewId="0">
      <selection activeCell="F128" sqref="F128"/>
    </sheetView>
  </sheetViews>
  <sheetFormatPr defaultRowHeight="14.4" x14ac:dyDescent="0.3"/>
  <cols>
    <col min="1" max="1" width="46" bestFit="1" customWidth="1"/>
    <col min="2" max="2" width="5.77734375" bestFit="1" customWidth="1"/>
    <col min="3" max="3" width="9.33203125" bestFit="1" customWidth="1"/>
    <col min="4" max="4" width="7.6640625" bestFit="1" customWidth="1"/>
    <col min="5" max="5" width="11.109375" bestFit="1" customWidth="1"/>
    <col min="6" max="6" width="10.44140625" bestFit="1" customWidth="1"/>
    <col min="7" max="7" width="13.6640625" bestFit="1" customWidth="1"/>
    <col min="8" max="8" width="42.109375" bestFit="1" customWidth="1"/>
    <col min="9" max="9" width="26.21875" customWidth="1"/>
  </cols>
  <sheetData>
    <row r="1" spans="1:14" x14ac:dyDescent="0.3">
      <c r="A1" t="s">
        <v>161</v>
      </c>
      <c r="B1" t="s">
        <v>313</v>
      </c>
      <c r="C1" t="s">
        <v>162</v>
      </c>
      <c r="D1" t="s">
        <v>163</v>
      </c>
      <c r="E1" t="s">
        <v>326</v>
      </c>
      <c r="F1" t="s">
        <v>314</v>
      </c>
      <c r="G1" t="s">
        <v>315</v>
      </c>
      <c r="H1" t="s">
        <v>316</v>
      </c>
      <c r="J1" t="s">
        <v>321</v>
      </c>
      <c r="K1" t="s">
        <v>322</v>
      </c>
      <c r="L1" t="s">
        <v>323</v>
      </c>
      <c r="M1" t="s">
        <v>324</v>
      </c>
      <c r="N1" t="s">
        <v>325</v>
      </c>
    </row>
    <row r="2" spans="1:14" hidden="1" x14ac:dyDescent="0.3">
      <c r="A2" t="s">
        <v>318</v>
      </c>
      <c r="B2" t="b">
        <v>1</v>
      </c>
      <c r="C2">
        <v>4</v>
      </c>
      <c r="D2">
        <v>4</v>
      </c>
      <c r="E2">
        <v>2</v>
      </c>
      <c r="F2">
        <v>4</v>
      </c>
      <c r="G2">
        <v>1</v>
      </c>
      <c r="H2">
        <v>2</v>
      </c>
      <c r="J2">
        <f>IF(ISNUMBER($E2),IF(AND((INT($D2/4)=$D2/4),($E2=4)),$D2/4,0),0)</f>
        <v>0</v>
      </c>
      <c r="K2">
        <f>IF(ISNUMBER($E2),IF(AND((INT($D2/6)=$D2/6),($E2=4)),$D2/6,0),0)</f>
        <v>0</v>
      </c>
      <c r="L2">
        <f>IF(ISNUMBER($E2),IF(AND((INT($D2/8)=$D2/8),($E2=4)),$D2/8,0),0)</f>
        <v>0</v>
      </c>
      <c r="M2">
        <f>IF(ISNUMBER($E2),IF(AND((INT($D2/10)=$D2/10),($E2=4)),$D2/10,0),0)</f>
        <v>0</v>
      </c>
      <c r="N2">
        <f>IF(ISNUMBER($E2),IF(AND((INT($D2/12)=$D2/12),($E2=4)),$D2/12,0),0)</f>
        <v>0</v>
      </c>
    </row>
    <row r="3" spans="1:14" hidden="1" x14ac:dyDescent="0.3">
      <c r="A3" t="s">
        <v>291</v>
      </c>
      <c r="B3" t="b">
        <v>0</v>
      </c>
      <c r="C3">
        <v>4</v>
      </c>
      <c r="D3">
        <v>6</v>
      </c>
      <c r="E3">
        <v>3</v>
      </c>
      <c r="J3">
        <f t="shared" ref="J3:J66" si="0">IF(ISNUMBER($E3),IF(AND((INT($D3/4)=$D3/4),($E3=4)),$D3/4,0),0)</f>
        <v>0</v>
      </c>
      <c r="K3">
        <f t="shared" ref="K3:K66" si="1">IF(ISNUMBER($E3),IF(AND((INT($D3/6)=$D3/6),($E3=4)),$D3/6,0),0)</f>
        <v>0</v>
      </c>
      <c r="L3">
        <f t="shared" ref="L3:L66" si="2">IF(ISNUMBER($E3),IF(AND((INT($D3/8)=$D3/8),($E3=4)),$D3/8,0),0)</f>
        <v>0</v>
      </c>
      <c r="M3">
        <f t="shared" ref="M3:M66" si="3">IF(ISNUMBER($E3),IF(AND((INT($D3/10)=$D3/10),($E3=4)),$D3/10,0),0)</f>
        <v>0</v>
      </c>
      <c r="N3">
        <f t="shared" ref="N3:N66" si="4">IF(ISNUMBER($E3),IF(AND((INT($D3/12)=$D3/12),($E3=4)),$D3/12,0),0)</f>
        <v>0</v>
      </c>
    </row>
    <row r="4" spans="1:14" hidden="1" x14ac:dyDescent="0.3">
      <c r="A4" t="s">
        <v>290</v>
      </c>
      <c r="B4" t="b">
        <v>0</v>
      </c>
      <c r="C4">
        <v>5</v>
      </c>
      <c r="D4">
        <v>8</v>
      </c>
      <c r="E4" t="s">
        <v>328</v>
      </c>
      <c r="J4">
        <f t="shared" si="0"/>
        <v>0</v>
      </c>
      <c r="K4">
        <f t="shared" si="1"/>
        <v>0</v>
      </c>
      <c r="L4">
        <f t="shared" si="2"/>
        <v>0</v>
      </c>
      <c r="M4">
        <f t="shared" si="3"/>
        <v>0</v>
      </c>
      <c r="N4">
        <f t="shared" si="4"/>
        <v>0</v>
      </c>
    </row>
    <row r="5" spans="1:14" hidden="1" x14ac:dyDescent="0.3">
      <c r="A5" t="s">
        <v>292</v>
      </c>
      <c r="B5" t="b">
        <v>0</v>
      </c>
      <c r="C5">
        <v>5</v>
      </c>
      <c r="D5">
        <v>9</v>
      </c>
      <c r="E5" t="s">
        <v>328</v>
      </c>
      <c r="J5">
        <f t="shared" si="0"/>
        <v>0</v>
      </c>
      <c r="K5">
        <f t="shared" si="1"/>
        <v>0</v>
      </c>
      <c r="L5">
        <f t="shared" si="2"/>
        <v>0</v>
      </c>
      <c r="M5">
        <f t="shared" si="3"/>
        <v>0</v>
      </c>
      <c r="N5">
        <f t="shared" si="4"/>
        <v>0</v>
      </c>
    </row>
    <row r="6" spans="1:14" hidden="1" x14ac:dyDescent="0.3">
      <c r="A6" t="s">
        <v>296</v>
      </c>
      <c r="B6" t="b">
        <v>0</v>
      </c>
      <c r="C6">
        <v>6</v>
      </c>
      <c r="D6">
        <v>9</v>
      </c>
      <c r="E6">
        <v>3</v>
      </c>
      <c r="J6">
        <f t="shared" si="0"/>
        <v>0</v>
      </c>
      <c r="K6">
        <f t="shared" si="1"/>
        <v>0</v>
      </c>
      <c r="L6">
        <f t="shared" si="2"/>
        <v>0</v>
      </c>
      <c r="M6">
        <f t="shared" si="3"/>
        <v>0</v>
      </c>
      <c r="N6">
        <f t="shared" si="4"/>
        <v>0</v>
      </c>
    </row>
    <row r="7" spans="1:14" hidden="1" x14ac:dyDescent="0.3">
      <c r="A7" t="s">
        <v>273</v>
      </c>
      <c r="B7" t="b">
        <v>0</v>
      </c>
      <c r="C7">
        <v>6</v>
      </c>
      <c r="D7">
        <v>10</v>
      </c>
      <c r="E7" t="s">
        <v>330</v>
      </c>
      <c r="J7">
        <f t="shared" si="0"/>
        <v>0</v>
      </c>
      <c r="K7">
        <f t="shared" si="1"/>
        <v>0</v>
      </c>
      <c r="L7">
        <f t="shared" si="2"/>
        <v>0</v>
      </c>
      <c r="M7">
        <f t="shared" si="3"/>
        <v>0</v>
      </c>
      <c r="N7">
        <f t="shared" si="4"/>
        <v>0</v>
      </c>
    </row>
    <row r="8" spans="1:14" hidden="1" x14ac:dyDescent="0.3">
      <c r="A8" t="s">
        <v>187</v>
      </c>
      <c r="B8" t="b">
        <v>0</v>
      </c>
      <c r="C8">
        <v>8</v>
      </c>
      <c r="D8">
        <v>12</v>
      </c>
      <c r="E8">
        <v>3</v>
      </c>
      <c r="J8">
        <f t="shared" si="0"/>
        <v>0</v>
      </c>
      <c r="K8">
        <f t="shared" si="1"/>
        <v>0</v>
      </c>
      <c r="L8">
        <f t="shared" si="2"/>
        <v>0</v>
      </c>
      <c r="M8">
        <f t="shared" si="3"/>
        <v>0</v>
      </c>
      <c r="N8">
        <f t="shared" si="4"/>
        <v>0</v>
      </c>
    </row>
    <row r="9" spans="1:14" hidden="1" x14ac:dyDescent="0.3">
      <c r="A9" t="s">
        <v>222</v>
      </c>
      <c r="B9" t="b">
        <v>0</v>
      </c>
      <c r="C9">
        <v>7</v>
      </c>
      <c r="D9">
        <v>12</v>
      </c>
      <c r="E9" t="s">
        <v>328</v>
      </c>
      <c r="J9">
        <f t="shared" si="0"/>
        <v>0</v>
      </c>
      <c r="K9">
        <f t="shared" si="1"/>
        <v>0</v>
      </c>
      <c r="L9">
        <f t="shared" si="2"/>
        <v>0</v>
      </c>
      <c r="M9">
        <f t="shared" si="3"/>
        <v>0</v>
      </c>
      <c r="N9">
        <f t="shared" si="4"/>
        <v>0</v>
      </c>
    </row>
    <row r="10" spans="1:14" x14ac:dyDescent="0.3">
      <c r="A10" t="s">
        <v>255</v>
      </c>
      <c r="B10" t="b">
        <v>1</v>
      </c>
      <c r="C10">
        <v>6</v>
      </c>
      <c r="D10">
        <v>12</v>
      </c>
      <c r="E10">
        <v>4</v>
      </c>
      <c r="F10">
        <v>4</v>
      </c>
      <c r="G10">
        <v>3</v>
      </c>
      <c r="H10">
        <v>4</v>
      </c>
      <c r="J10">
        <f t="shared" si="0"/>
        <v>3</v>
      </c>
      <c r="K10">
        <f t="shared" si="1"/>
        <v>2</v>
      </c>
      <c r="L10">
        <f t="shared" si="2"/>
        <v>0</v>
      </c>
      <c r="M10">
        <f t="shared" si="3"/>
        <v>0</v>
      </c>
      <c r="N10">
        <f t="shared" si="4"/>
        <v>1</v>
      </c>
    </row>
    <row r="11" spans="1:14" hidden="1" x14ac:dyDescent="0.3">
      <c r="A11" t="s">
        <v>177</v>
      </c>
      <c r="B11" t="b">
        <v>0</v>
      </c>
      <c r="C11">
        <v>7</v>
      </c>
      <c r="D11">
        <v>13</v>
      </c>
      <c r="E11" t="s">
        <v>328</v>
      </c>
      <c r="J11">
        <f t="shared" si="0"/>
        <v>0</v>
      </c>
      <c r="K11">
        <f t="shared" si="1"/>
        <v>0</v>
      </c>
      <c r="L11">
        <f t="shared" si="2"/>
        <v>0</v>
      </c>
      <c r="M11">
        <f t="shared" si="3"/>
        <v>0</v>
      </c>
      <c r="N11">
        <f t="shared" si="4"/>
        <v>0</v>
      </c>
    </row>
    <row r="12" spans="1:14" hidden="1" x14ac:dyDescent="0.3">
      <c r="A12" t="s">
        <v>226</v>
      </c>
      <c r="B12" t="b">
        <v>0</v>
      </c>
      <c r="C12">
        <v>8</v>
      </c>
      <c r="D12">
        <v>14</v>
      </c>
      <c r="E12" t="s">
        <v>328</v>
      </c>
      <c r="J12">
        <f t="shared" si="0"/>
        <v>0</v>
      </c>
      <c r="K12">
        <f t="shared" si="1"/>
        <v>0</v>
      </c>
      <c r="L12">
        <f t="shared" si="2"/>
        <v>0</v>
      </c>
      <c r="M12">
        <f t="shared" si="3"/>
        <v>0</v>
      </c>
      <c r="N12">
        <f t="shared" si="4"/>
        <v>0</v>
      </c>
    </row>
    <row r="13" spans="1:14" hidden="1" x14ac:dyDescent="0.3">
      <c r="A13" t="s">
        <v>216</v>
      </c>
      <c r="B13" t="b">
        <v>0</v>
      </c>
      <c r="C13">
        <v>8</v>
      </c>
      <c r="D13">
        <v>15</v>
      </c>
      <c r="E13" t="s">
        <v>328</v>
      </c>
      <c r="J13">
        <f t="shared" si="0"/>
        <v>0</v>
      </c>
      <c r="K13">
        <f t="shared" si="1"/>
        <v>0</v>
      </c>
      <c r="L13">
        <f t="shared" si="2"/>
        <v>0</v>
      </c>
      <c r="M13">
        <f t="shared" si="3"/>
        <v>0</v>
      </c>
      <c r="N13">
        <f t="shared" si="4"/>
        <v>0</v>
      </c>
    </row>
    <row r="14" spans="1:14" hidden="1" x14ac:dyDescent="0.3">
      <c r="A14" t="s">
        <v>265</v>
      </c>
      <c r="B14" t="b">
        <v>0</v>
      </c>
      <c r="C14">
        <v>7</v>
      </c>
      <c r="D14">
        <v>15</v>
      </c>
      <c r="E14" t="s">
        <v>329</v>
      </c>
      <c r="J14">
        <f t="shared" si="0"/>
        <v>0</v>
      </c>
      <c r="K14">
        <f t="shared" si="1"/>
        <v>0</v>
      </c>
      <c r="L14">
        <f t="shared" si="2"/>
        <v>0</v>
      </c>
      <c r="M14">
        <f t="shared" si="3"/>
        <v>0</v>
      </c>
      <c r="N14">
        <f t="shared" si="4"/>
        <v>0</v>
      </c>
    </row>
    <row r="15" spans="1:14" hidden="1" x14ac:dyDescent="0.3">
      <c r="A15" t="s">
        <v>272</v>
      </c>
      <c r="B15" t="b">
        <v>0</v>
      </c>
      <c r="C15">
        <v>10</v>
      </c>
      <c r="D15">
        <v>15</v>
      </c>
      <c r="E15">
        <v>3</v>
      </c>
      <c r="J15">
        <f t="shared" si="0"/>
        <v>0</v>
      </c>
      <c r="K15">
        <f t="shared" si="1"/>
        <v>0</v>
      </c>
      <c r="L15">
        <f t="shared" si="2"/>
        <v>0</v>
      </c>
      <c r="M15">
        <f t="shared" si="3"/>
        <v>0</v>
      </c>
      <c r="N15">
        <f t="shared" si="4"/>
        <v>0</v>
      </c>
    </row>
    <row r="16" spans="1:14" hidden="1" x14ac:dyDescent="0.3">
      <c r="A16" t="s">
        <v>293</v>
      </c>
      <c r="B16" t="b">
        <v>0</v>
      </c>
      <c r="C16">
        <v>9</v>
      </c>
      <c r="D16">
        <v>15</v>
      </c>
      <c r="E16" t="s">
        <v>328</v>
      </c>
      <c r="J16">
        <f t="shared" si="0"/>
        <v>0</v>
      </c>
      <c r="K16">
        <f t="shared" si="1"/>
        <v>0</v>
      </c>
      <c r="L16">
        <f t="shared" si="2"/>
        <v>0</v>
      </c>
      <c r="M16">
        <f t="shared" si="3"/>
        <v>0</v>
      </c>
      <c r="N16">
        <f t="shared" si="4"/>
        <v>0</v>
      </c>
    </row>
    <row r="17" spans="1:14" hidden="1" x14ac:dyDescent="0.3">
      <c r="A17" t="s">
        <v>301</v>
      </c>
      <c r="B17" t="b">
        <v>0</v>
      </c>
      <c r="C17">
        <v>9</v>
      </c>
      <c r="D17">
        <v>15</v>
      </c>
      <c r="E17" t="s">
        <v>328</v>
      </c>
      <c r="J17">
        <f t="shared" si="0"/>
        <v>0</v>
      </c>
      <c r="K17">
        <f t="shared" si="1"/>
        <v>0</v>
      </c>
      <c r="L17">
        <f t="shared" si="2"/>
        <v>0</v>
      </c>
      <c r="M17">
        <f t="shared" si="3"/>
        <v>0</v>
      </c>
      <c r="N17">
        <f t="shared" si="4"/>
        <v>0</v>
      </c>
    </row>
    <row r="18" spans="1:14" hidden="1" x14ac:dyDescent="0.3">
      <c r="A18" t="s">
        <v>215</v>
      </c>
      <c r="B18" t="b">
        <v>0</v>
      </c>
      <c r="C18">
        <v>9</v>
      </c>
      <c r="D18">
        <v>16</v>
      </c>
      <c r="E18" t="s">
        <v>328</v>
      </c>
      <c r="J18">
        <f t="shared" si="0"/>
        <v>0</v>
      </c>
      <c r="K18">
        <f t="shared" si="1"/>
        <v>0</v>
      </c>
      <c r="L18">
        <f t="shared" si="2"/>
        <v>0</v>
      </c>
      <c r="M18">
        <f t="shared" si="3"/>
        <v>0</v>
      </c>
      <c r="N18">
        <f t="shared" si="4"/>
        <v>0</v>
      </c>
    </row>
    <row r="19" spans="1:14" x14ac:dyDescent="0.3">
      <c r="A19" t="s">
        <v>284</v>
      </c>
      <c r="B19" t="b">
        <v>0</v>
      </c>
      <c r="C19">
        <v>8</v>
      </c>
      <c r="D19">
        <v>16</v>
      </c>
      <c r="E19">
        <v>4</v>
      </c>
      <c r="J19">
        <f t="shared" si="0"/>
        <v>4</v>
      </c>
      <c r="K19">
        <f t="shared" si="1"/>
        <v>0</v>
      </c>
      <c r="L19">
        <f t="shared" si="2"/>
        <v>2</v>
      </c>
      <c r="M19">
        <f t="shared" si="3"/>
        <v>0</v>
      </c>
      <c r="N19">
        <f t="shared" si="4"/>
        <v>0</v>
      </c>
    </row>
    <row r="20" spans="1:14" hidden="1" x14ac:dyDescent="0.3">
      <c r="A20" t="s">
        <v>319</v>
      </c>
      <c r="B20" t="b">
        <v>1</v>
      </c>
      <c r="C20">
        <v>10</v>
      </c>
      <c r="D20">
        <v>16</v>
      </c>
      <c r="E20" t="s">
        <v>331</v>
      </c>
      <c r="F20">
        <v>4</v>
      </c>
      <c r="G20">
        <v>4</v>
      </c>
      <c r="H20">
        <v>4</v>
      </c>
      <c r="J20">
        <f t="shared" si="0"/>
        <v>0</v>
      </c>
      <c r="K20">
        <f t="shared" si="1"/>
        <v>0</v>
      </c>
      <c r="L20">
        <f t="shared" si="2"/>
        <v>0</v>
      </c>
      <c r="M20">
        <f t="shared" si="3"/>
        <v>0</v>
      </c>
      <c r="N20">
        <f t="shared" si="4"/>
        <v>0</v>
      </c>
    </row>
    <row r="21" spans="1:14" hidden="1" x14ac:dyDescent="0.3">
      <c r="A21" t="s">
        <v>320</v>
      </c>
      <c r="B21" t="b">
        <v>1</v>
      </c>
      <c r="C21">
        <v>10</v>
      </c>
      <c r="D21">
        <v>16</v>
      </c>
      <c r="E21" t="s">
        <v>331</v>
      </c>
      <c r="F21">
        <v>4</v>
      </c>
      <c r="G21">
        <v>4</v>
      </c>
      <c r="H21">
        <v>4</v>
      </c>
      <c r="J21">
        <f t="shared" si="0"/>
        <v>0</v>
      </c>
      <c r="K21">
        <f t="shared" si="1"/>
        <v>0</v>
      </c>
      <c r="L21">
        <f t="shared" si="2"/>
        <v>0</v>
      </c>
      <c r="M21">
        <f t="shared" si="3"/>
        <v>0</v>
      </c>
      <c r="N21">
        <f t="shared" si="4"/>
        <v>0</v>
      </c>
    </row>
    <row r="22" spans="1:14" hidden="1" x14ac:dyDescent="0.3">
      <c r="A22" t="s">
        <v>183</v>
      </c>
      <c r="B22" t="b">
        <v>0</v>
      </c>
      <c r="C22">
        <v>8</v>
      </c>
      <c r="D22">
        <v>17</v>
      </c>
      <c r="E22" t="s">
        <v>329</v>
      </c>
      <c r="J22">
        <f t="shared" si="0"/>
        <v>0</v>
      </c>
      <c r="K22">
        <f t="shared" si="1"/>
        <v>0</v>
      </c>
      <c r="L22">
        <f t="shared" si="2"/>
        <v>0</v>
      </c>
      <c r="M22">
        <f t="shared" si="3"/>
        <v>0</v>
      </c>
      <c r="N22">
        <f t="shared" si="4"/>
        <v>0</v>
      </c>
    </row>
    <row r="23" spans="1:14" hidden="1" x14ac:dyDescent="0.3">
      <c r="A23" t="s">
        <v>178</v>
      </c>
      <c r="B23" t="b">
        <v>0</v>
      </c>
      <c r="C23">
        <v>10</v>
      </c>
      <c r="D23">
        <v>18</v>
      </c>
      <c r="E23" t="s">
        <v>328</v>
      </c>
      <c r="J23">
        <f t="shared" si="0"/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</row>
    <row r="24" spans="1:14" hidden="1" x14ac:dyDescent="0.3">
      <c r="A24" t="s">
        <v>242</v>
      </c>
      <c r="B24" t="b">
        <v>0</v>
      </c>
      <c r="C24">
        <v>12</v>
      </c>
      <c r="D24">
        <v>18</v>
      </c>
      <c r="E24">
        <v>3</v>
      </c>
      <c r="J24">
        <f t="shared" si="0"/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</row>
    <row r="25" spans="1:14" hidden="1" x14ac:dyDescent="0.3">
      <c r="A25" t="s">
        <v>279</v>
      </c>
      <c r="B25" t="b">
        <v>0</v>
      </c>
      <c r="C25">
        <v>8</v>
      </c>
      <c r="D25">
        <v>18</v>
      </c>
      <c r="E25" t="s">
        <v>329</v>
      </c>
      <c r="J25">
        <f t="shared" si="0"/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</row>
    <row r="26" spans="1:14" hidden="1" x14ac:dyDescent="0.3">
      <c r="A26" t="s">
        <v>311</v>
      </c>
      <c r="B26" t="b">
        <v>0</v>
      </c>
      <c r="C26">
        <v>12</v>
      </c>
      <c r="D26">
        <v>18</v>
      </c>
      <c r="E26">
        <v>3</v>
      </c>
      <c r="J26">
        <f t="shared" si="0"/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</row>
    <row r="27" spans="1:14" hidden="1" x14ac:dyDescent="0.3">
      <c r="A27" t="s">
        <v>175</v>
      </c>
      <c r="B27" t="b">
        <v>0</v>
      </c>
      <c r="C27">
        <v>11</v>
      </c>
      <c r="D27">
        <v>19</v>
      </c>
      <c r="E27" t="s">
        <v>328</v>
      </c>
      <c r="J27">
        <f t="shared" si="0"/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</row>
    <row r="28" spans="1:14" hidden="1" x14ac:dyDescent="0.3">
      <c r="A28" t="s">
        <v>208</v>
      </c>
      <c r="B28" t="b">
        <v>0</v>
      </c>
      <c r="C28">
        <v>11</v>
      </c>
      <c r="D28">
        <v>20</v>
      </c>
      <c r="E28" t="s">
        <v>327</v>
      </c>
      <c r="J28">
        <f t="shared" si="0"/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</row>
    <row r="29" spans="1:14" x14ac:dyDescent="0.3">
      <c r="A29" t="s">
        <v>210</v>
      </c>
      <c r="B29" t="b">
        <v>0</v>
      </c>
      <c r="C29">
        <v>10</v>
      </c>
      <c r="D29">
        <v>20</v>
      </c>
      <c r="E29">
        <v>4</v>
      </c>
      <c r="J29">
        <f t="shared" si="0"/>
        <v>5</v>
      </c>
      <c r="K29">
        <f t="shared" si="1"/>
        <v>0</v>
      </c>
      <c r="L29">
        <f t="shared" si="2"/>
        <v>0</v>
      </c>
      <c r="M29">
        <f t="shared" si="3"/>
        <v>2</v>
      </c>
      <c r="N29">
        <f t="shared" si="4"/>
        <v>0</v>
      </c>
    </row>
    <row r="30" spans="1:14" hidden="1" x14ac:dyDescent="0.3">
      <c r="A30" t="s">
        <v>236</v>
      </c>
      <c r="B30" t="b">
        <v>0</v>
      </c>
      <c r="C30">
        <v>9</v>
      </c>
      <c r="D30">
        <v>20</v>
      </c>
      <c r="E30" t="s">
        <v>329</v>
      </c>
      <c r="J30">
        <f t="shared" si="0"/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</row>
    <row r="31" spans="1:14" hidden="1" x14ac:dyDescent="0.3">
      <c r="A31" t="s">
        <v>248</v>
      </c>
      <c r="B31" t="b">
        <v>0</v>
      </c>
      <c r="C31">
        <v>10</v>
      </c>
      <c r="D31">
        <v>20</v>
      </c>
      <c r="E31" t="s">
        <v>327</v>
      </c>
      <c r="J31">
        <f t="shared" si="0"/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</row>
    <row r="32" spans="1:14" x14ac:dyDescent="0.3">
      <c r="A32" t="s">
        <v>264</v>
      </c>
      <c r="B32" t="b">
        <v>0</v>
      </c>
      <c r="C32">
        <v>10</v>
      </c>
      <c r="D32">
        <v>20</v>
      </c>
      <c r="E32">
        <v>4</v>
      </c>
      <c r="J32">
        <f t="shared" si="0"/>
        <v>5</v>
      </c>
      <c r="K32">
        <f t="shared" si="1"/>
        <v>0</v>
      </c>
      <c r="L32">
        <f t="shared" si="2"/>
        <v>0</v>
      </c>
      <c r="M32">
        <f t="shared" si="3"/>
        <v>2</v>
      </c>
      <c r="N32">
        <f t="shared" si="4"/>
        <v>0</v>
      </c>
    </row>
    <row r="33" spans="1:14" hidden="1" x14ac:dyDescent="0.3">
      <c r="A33" t="s">
        <v>286</v>
      </c>
      <c r="B33" t="b">
        <v>0</v>
      </c>
      <c r="C33">
        <v>12</v>
      </c>
      <c r="D33">
        <v>20</v>
      </c>
      <c r="E33" t="s">
        <v>328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</row>
    <row r="34" spans="1:14" hidden="1" x14ac:dyDescent="0.3">
      <c r="A34" t="s">
        <v>299</v>
      </c>
      <c r="B34" t="b">
        <v>0</v>
      </c>
      <c r="C34">
        <v>9</v>
      </c>
      <c r="D34">
        <v>21</v>
      </c>
      <c r="E34" t="s">
        <v>329</v>
      </c>
      <c r="J34">
        <f t="shared" si="0"/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</row>
    <row r="35" spans="1:14" hidden="1" x14ac:dyDescent="0.3">
      <c r="A35" t="s">
        <v>174</v>
      </c>
      <c r="B35" t="b">
        <v>0</v>
      </c>
      <c r="C35">
        <v>13</v>
      </c>
      <c r="D35">
        <v>22</v>
      </c>
      <c r="E35" t="s">
        <v>328</v>
      </c>
      <c r="J35">
        <f t="shared" si="0"/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</row>
    <row r="36" spans="1:14" hidden="1" x14ac:dyDescent="0.3">
      <c r="A36" t="s">
        <v>282</v>
      </c>
      <c r="B36" t="b">
        <v>0</v>
      </c>
      <c r="C36">
        <v>10</v>
      </c>
      <c r="D36">
        <v>22</v>
      </c>
      <c r="E36" t="s">
        <v>329</v>
      </c>
      <c r="J36">
        <f t="shared" si="0"/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</row>
    <row r="37" spans="1:14" hidden="1" x14ac:dyDescent="0.3">
      <c r="A37" t="s">
        <v>182</v>
      </c>
      <c r="B37" t="b">
        <v>0</v>
      </c>
      <c r="C37">
        <v>12</v>
      </c>
      <c r="D37">
        <v>23</v>
      </c>
      <c r="E37" t="s">
        <v>328</v>
      </c>
      <c r="J37">
        <f t="shared" si="0"/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</row>
    <row r="38" spans="1:14" x14ac:dyDescent="0.3">
      <c r="A38" t="s">
        <v>188</v>
      </c>
      <c r="B38" t="b">
        <v>1</v>
      </c>
      <c r="C38">
        <v>12</v>
      </c>
      <c r="D38">
        <v>24</v>
      </c>
      <c r="E38">
        <v>4</v>
      </c>
      <c r="F38">
        <v>6</v>
      </c>
      <c r="G38">
        <v>4</v>
      </c>
      <c r="H38">
        <v>4</v>
      </c>
      <c r="J38">
        <f t="shared" si="0"/>
        <v>6</v>
      </c>
      <c r="K38">
        <f t="shared" si="1"/>
        <v>4</v>
      </c>
      <c r="L38">
        <f t="shared" si="2"/>
        <v>3</v>
      </c>
      <c r="M38">
        <f t="shared" si="3"/>
        <v>0</v>
      </c>
      <c r="N38">
        <f t="shared" si="4"/>
        <v>2</v>
      </c>
    </row>
    <row r="39" spans="1:14" hidden="1" x14ac:dyDescent="0.3">
      <c r="A39" t="s">
        <v>234</v>
      </c>
      <c r="B39" t="b">
        <v>0</v>
      </c>
      <c r="C39">
        <v>10</v>
      </c>
      <c r="D39">
        <v>24</v>
      </c>
      <c r="E39" t="s">
        <v>329</v>
      </c>
      <c r="J39">
        <f t="shared" si="0"/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</row>
    <row r="40" spans="1:14" x14ac:dyDescent="0.3">
      <c r="A40" t="s">
        <v>240</v>
      </c>
      <c r="B40" t="b">
        <v>1</v>
      </c>
      <c r="C40">
        <v>12</v>
      </c>
      <c r="D40">
        <v>24</v>
      </c>
      <c r="E40">
        <v>4</v>
      </c>
      <c r="F40">
        <v>8</v>
      </c>
      <c r="G40">
        <v>3</v>
      </c>
      <c r="H40">
        <v>4</v>
      </c>
      <c r="J40">
        <f t="shared" si="0"/>
        <v>6</v>
      </c>
      <c r="K40">
        <f t="shared" si="1"/>
        <v>4</v>
      </c>
      <c r="L40">
        <f t="shared" si="2"/>
        <v>3</v>
      </c>
      <c r="M40">
        <f t="shared" si="3"/>
        <v>0</v>
      </c>
      <c r="N40">
        <f t="shared" si="4"/>
        <v>2</v>
      </c>
    </row>
    <row r="41" spans="1:14" hidden="1" x14ac:dyDescent="0.3">
      <c r="A41" t="s">
        <v>254</v>
      </c>
      <c r="B41" t="b">
        <v>0</v>
      </c>
      <c r="C41">
        <v>16</v>
      </c>
      <c r="D41">
        <v>24</v>
      </c>
      <c r="E41">
        <v>3</v>
      </c>
      <c r="J41">
        <f t="shared" si="0"/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</row>
    <row r="42" spans="1:14" x14ac:dyDescent="0.3">
      <c r="A42" t="s">
        <v>295</v>
      </c>
      <c r="B42" t="b">
        <v>1</v>
      </c>
      <c r="C42">
        <v>12</v>
      </c>
      <c r="D42">
        <v>24</v>
      </c>
      <c r="E42">
        <v>4</v>
      </c>
      <c r="F42">
        <v>6</v>
      </c>
      <c r="G42">
        <v>4</v>
      </c>
      <c r="H42">
        <v>5</v>
      </c>
      <c r="J42">
        <f t="shared" si="0"/>
        <v>6</v>
      </c>
      <c r="K42">
        <f t="shared" si="1"/>
        <v>4</v>
      </c>
      <c r="L42">
        <f t="shared" si="2"/>
        <v>3</v>
      </c>
      <c r="M42">
        <f t="shared" si="3"/>
        <v>0</v>
      </c>
      <c r="N42">
        <f t="shared" si="4"/>
        <v>2</v>
      </c>
    </row>
    <row r="43" spans="1:14" hidden="1" x14ac:dyDescent="0.3">
      <c r="A43" t="s">
        <v>196</v>
      </c>
      <c r="B43" t="b">
        <v>0</v>
      </c>
      <c r="C43">
        <v>12</v>
      </c>
      <c r="D43">
        <v>25</v>
      </c>
      <c r="E43" t="s">
        <v>329</v>
      </c>
      <c r="J43">
        <f t="shared" si="0"/>
        <v>0</v>
      </c>
      <c r="K43">
        <f t="shared" si="1"/>
        <v>0</v>
      </c>
      <c r="L43">
        <f t="shared" si="2"/>
        <v>0</v>
      </c>
      <c r="M43">
        <f t="shared" si="3"/>
        <v>0</v>
      </c>
      <c r="N43">
        <f t="shared" si="4"/>
        <v>0</v>
      </c>
    </row>
    <row r="44" spans="1:14" hidden="1" x14ac:dyDescent="0.3">
      <c r="A44" t="s">
        <v>231</v>
      </c>
      <c r="B44" t="b">
        <v>0</v>
      </c>
      <c r="C44">
        <v>11</v>
      </c>
      <c r="D44">
        <v>25</v>
      </c>
      <c r="E44" t="s">
        <v>329</v>
      </c>
      <c r="J44">
        <f t="shared" si="0"/>
        <v>0</v>
      </c>
      <c r="K44">
        <f t="shared" si="1"/>
        <v>0</v>
      </c>
      <c r="L44">
        <f t="shared" si="2"/>
        <v>0</v>
      </c>
      <c r="M44">
        <f t="shared" si="3"/>
        <v>0</v>
      </c>
      <c r="N44">
        <f t="shared" si="4"/>
        <v>0</v>
      </c>
    </row>
    <row r="45" spans="1:14" hidden="1" x14ac:dyDescent="0.3">
      <c r="A45" t="s">
        <v>266</v>
      </c>
      <c r="B45" t="b">
        <v>0</v>
      </c>
      <c r="C45">
        <v>15</v>
      </c>
      <c r="D45">
        <v>25</v>
      </c>
      <c r="E45" t="s">
        <v>328</v>
      </c>
      <c r="J45">
        <f t="shared" si="0"/>
        <v>0</v>
      </c>
      <c r="K45">
        <f t="shared" si="1"/>
        <v>0</v>
      </c>
      <c r="L45">
        <f t="shared" si="2"/>
        <v>0</v>
      </c>
      <c r="M45">
        <f t="shared" si="3"/>
        <v>0</v>
      </c>
      <c r="N45">
        <f t="shared" si="4"/>
        <v>0</v>
      </c>
    </row>
    <row r="46" spans="1:14" hidden="1" x14ac:dyDescent="0.3">
      <c r="A46" t="s">
        <v>176</v>
      </c>
      <c r="B46" t="b">
        <v>0</v>
      </c>
      <c r="C46">
        <v>11</v>
      </c>
      <c r="D46">
        <v>26</v>
      </c>
      <c r="E46" t="s">
        <v>329</v>
      </c>
      <c r="J46">
        <f t="shared" si="0"/>
        <v>0</v>
      </c>
      <c r="K46">
        <f t="shared" si="1"/>
        <v>0</v>
      </c>
      <c r="L46">
        <f t="shared" si="2"/>
        <v>0</v>
      </c>
      <c r="M46">
        <f t="shared" si="3"/>
        <v>0</v>
      </c>
      <c r="N46">
        <f t="shared" si="4"/>
        <v>0</v>
      </c>
    </row>
    <row r="47" spans="1:14" hidden="1" x14ac:dyDescent="0.3">
      <c r="A47" t="s">
        <v>186</v>
      </c>
      <c r="B47" t="b">
        <v>0</v>
      </c>
      <c r="C47">
        <v>14</v>
      </c>
      <c r="D47">
        <v>26</v>
      </c>
      <c r="E47" t="s">
        <v>328</v>
      </c>
      <c r="J47">
        <f t="shared" si="0"/>
        <v>0</v>
      </c>
      <c r="K47">
        <f t="shared" si="1"/>
        <v>0</v>
      </c>
      <c r="L47">
        <f t="shared" si="2"/>
        <v>0</v>
      </c>
      <c r="M47">
        <f t="shared" si="3"/>
        <v>0</v>
      </c>
      <c r="N47">
        <f t="shared" si="4"/>
        <v>0</v>
      </c>
    </row>
    <row r="48" spans="1:14" hidden="1" x14ac:dyDescent="0.3">
      <c r="A48" t="s">
        <v>246</v>
      </c>
      <c r="B48" t="b">
        <v>0</v>
      </c>
      <c r="C48">
        <v>14</v>
      </c>
      <c r="D48">
        <v>26</v>
      </c>
      <c r="E48" t="s">
        <v>328</v>
      </c>
      <c r="J48">
        <f t="shared" si="0"/>
        <v>0</v>
      </c>
      <c r="K48">
        <f t="shared" si="1"/>
        <v>0</v>
      </c>
      <c r="L48">
        <f t="shared" si="2"/>
        <v>0</v>
      </c>
      <c r="M48">
        <f t="shared" si="3"/>
        <v>0</v>
      </c>
      <c r="N48">
        <f t="shared" si="4"/>
        <v>0</v>
      </c>
    </row>
    <row r="49" spans="1:14" hidden="1" x14ac:dyDescent="0.3">
      <c r="A49" t="s">
        <v>258</v>
      </c>
      <c r="B49" t="b">
        <v>0</v>
      </c>
      <c r="C49">
        <v>14</v>
      </c>
      <c r="D49">
        <v>26</v>
      </c>
      <c r="E49" t="s">
        <v>328</v>
      </c>
      <c r="J49">
        <f t="shared" si="0"/>
        <v>0</v>
      </c>
      <c r="K49">
        <f t="shared" si="1"/>
        <v>0</v>
      </c>
      <c r="L49">
        <f t="shared" si="2"/>
        <v>0</v>
      </c>
      <c r="M49">
        <f t="shared" si="3"/>
        <v>0</v>
      </c>
      <c r="N49">
        <f t="shared" si="4"/>
        <v>0</v>
      </c>
    </row>
    <row r="50" spans="1:14" hidden="1" x14ac:dyDescent="0.3">
      <c r="A50" t="s">
        <v>181</v>
      </c>
      <c r="B50" t="b">
        <v>0</v>
      </c>
      <c r="C50">
        <v>15</v>
      </c>
      <c r="D50">
        <v>27</v>
      </c>
      <c r="E50" t="s">
        <v>328</v>
      </c>
      <c r="J50">
        <f t="shared" si="0"/>
        <v>0</v>
      </c>
      <c r="K50">
        <f t="shared" si="1"/>
        <v>0</v>
      </c>
      <c r="L50">
        <f t="shared" si="2"/>
        <v>0</v>
      </c>
      <c r="M50">
        <f t="shared" si="3"/>
        <v>0</v>
      </c>
      <c r="N50">
        <f t="shared" si="4"/>
        <v>0</v>
      </c>
    </row>
    <row r="51" spans="1:14" hidden="1" x14ac:dyDescent="0.3">
      <c r="A51" t="s">
        <v>217</v>
      </c>
      <c r="B51" t="b">
        <v>0</v>
      </c>
      <c r="C51">
        <v>15</v>
      </c>
      <c r="D51">
        <v>27</v>
      </c>
      <c r="E51" t="s">
        <v>328</v>
      </c>
      <c r="J51">
        <f t="shared" si="0"/>
        <v>0</v>
      </c>
      <c r="K51">
        <f t="shared" si="1"/>
        <v>0</v>
      </c>
      <c r="L51">
        <f t="shared" si="2"/>
        <v>0</v>
      </c>
      <c r="M51">
        <f t="shared" si="3"/>
        <v>0</v>
      </c>
      <c r="N51">
        <f t="shared" si="4"/>
        <v>0</v>
      </c>
    </row>
    <row r="52" spans="1:14" hidden="1" x14ac:dyDescent="0.3">
      <c r="A52" t="s">
        <v>283</v>
      </c>
      <c r="B52" t="b">
        <v>0</v>
      </c>
      <c r="C52">
        <v>12</v>
      </c>
      <c r="D52">
        <v>28</v>
      </c>
      <c r="E52" t="s">
        <v>329</v>
      </c>
      <c r="J52">
        <f t="shared" si="0"/>
        <v>0</v>
      </c>
      <c r="K52">
        <f t="shared" si="1"/>
        <v>0</v>
      </c>
      <c r="L52">
        <f t="shared" si="2"/>
        <v>0</v>
      </c>
      <c r="M52">
        <f t="shared" si="3"/>
        <v>0</v>
      </c>
      <c r="N52">
        <f t="shared" si="4"/>
        <v>0</v>
      </c>
    </row>
    <row r="53" spans="1:14" hidden="1" x14ac:dyDescent="0.3">
      <c r="A53" t="s">
        <v>192</v>
      </c>
      <c r="B53" t="b">
        <v>0</v>
      </c>
      <c r="C53">
        <v>20</v>
      </c>
      <c r="D53">
        <v>30</v>
      </c>
      <c r="E53">
        <v>3</v>
      </c>
      <c r="J53">
        <f t="shared" si="0"/>
        <v>0</v>
      </c>
      <c r="K53">
        <f t="shared" si="1"/>
        <v>0</v>
      </c>
      <c r="L53">
        <f t="shared" si="2"/>
        <v>0</v>
      </c>
      <c r="M53">
        <f t="shared" si="3"/>
        <v>0</v>
      </c>
      <c r="N53">
        <f t="shared" si="4"/>
        <v>0</v>
      </c>
    </row>
    <row r="54" spans="1:14" hidden="1" x14ac:dyDescent="0.3">
      <c r="A54" t="s">
        <v>195</v>
      </c>
      <c r="B54" t="b">
        <v>0</v>
      </c>
      <c r="C54">
        <v>20</v>
      </c>
      <c r="D54">
        <v>30</v>
      </c>
      <c r="E54">
        <v>3</v>
      </c>
      <c r="J54">
        <f t="shared" si="0"/>
        <v>0</v>
      </c>
      <c r="K54">
        <f t="shared" si="1"/>
        <v>0</v>
      </c>
      <c r="L54">
        <f t="shared" si="2"/>
        <v>0</v>
      </c>
      <c r="M54">
        <f t="shared" si="3"/>
        <v>0</v>
      </c>
      <c r="N54">
        <f t="shared" si="4"/>
        <v>0</v>
      </c>
    </row>
    <row r="55" spans="1:14" hidden="1" x14ac:dyDescent="0.3">
      <c r="A55" t="s">
        <v>243</v>
      </c>
      <c r="B55" t="b">
        <v>0</v>
      </c>
      <c r="C55">
        <v>12</v>
      </c>
      <c r="D55">
        <v>30</v>
      </c>
      <c r="E55">
        <v>5</v>
      </c>
      <c r="J55">
        <f t="shared" si="0"/>
        <v>0</v>
      </c>
      <c r="K55">
        <f t="shared" si="1"/>
        <v>0</v>
      </c>
      <c r="L55">
        <f t="shared" si="2"/>
        <v>0</v>
      </c>
      <c r="M55">
        <f t="shared" si="3"/>
        <v>0</v>
      </c>
      <c r="N55">
        <f t="shared" si="4"/>
        <v>0</v>
      </c>
    </row>
    <row r="56" spans="1:14" x14ac:dyDescent="0.3">
      <c r="A56" t="s">
        <v>298</v>
      </c>
      <c r="B56" t="b">
        <v>0</v>
      </c>
      <c r="C56">
        <v>15</v>
      </c>
      <c r="D56">
        <v>30</v>
      </c>
      <c r="E56">
        <v>4</v>
      </c>
      <c r="J56">
        <f t="shared" si="0"/>
        <v>0</v>
      </c>
      <c r="K56">
        <f t="shared" si="1"/>
        <v>5</v>
      </c>
      <c r="L56">
        <f t="shared" si="2"/>
        <v>0</v>
      </c>
      <c r="M56">
        <f t="shared" si="3"/>
        <v>3</v>
      </c>
      <c r="N56">
        <f t="shared" si="4"/>
        <v>0</v>
      </c>
    </row>
    <row r="57" spans="1:14" x14ac:dyDescent="0.3">
      <c r="A57" t="s">
        <v>253</v>
      </c>
      <c r="B57" t="b">
        <v>0</v>
      </c>
      <c r="C57">
        <v>16</v>
      </c>
      <c r="D57">
        <v>32</v>
      </c>
      <c r="E57">
        <v>4</v>
      </c>
      <c r="J57">
        <f t="shared" si="0"/>
        <v>8</v>
      </c>
      <c r="K57">
        <f t="shared" si="1"/>
        <v>0</v>
      </c>
      <c r="L57">
        <f t="shared" si="2"/>
        <v>4</v>
      </c>
      <c r="M57">
        <f t="shared" si="3"/>
        <v>0</v>
      </c>
      <c r="N57">
        <f t="shared" si="4"/>
        <v>0</v>
      </c>
    </row>
    <row r="58" spans="1:14" x14ac:dyDescent="0.3">
      <c r="A58" t="s">
        <v>287</v>
      </c>
      <c r="B58" t="b">
        <v>1</v>
      </c>
      <c r="C58">
        <v>16</v>
      </c>
      <c r="D58">
        <v>32</v>
      </c>
      <c r="E58">
        <v>4</v>
      </c>
      <c r="F58">
        <v>8</v>
      </c>
      <c r="G58">
        <v>4</v>
      </c>
      <c r="H58">
        <v>4</v>
      </c>
      <c r="J58">
        <f t="shared" si="0"/>
        <v>8</v>
      </c>
      <c r="K58">
        <f t="shared" si="1"/>
        <v>0</v>
      </c>
      <c r="L58">
        <f t="shared" si="2"/>
        <v>4</v>
      </c>
      <c r="M58">
        <f t="shared" si="3"/>
        <v>0</v>
      </c>
      <c r="N58">
        <f t="shared" si="4"/>
        <v>0</v>
      </c>
    </row>
    <row r="59" spans="1:14" x14ac:dyDescent="0.3">
      <c r="A59" t="s">
        <v>289</v>
      </c>
      <c r="B59" t="b">
        <v>0</v>
      </c>
      <c r="C59">
        <v>16</v>
      </c>
      <c r="D59">
        <v>32</v>
      </c>
      <c r="E59">
        <v>4</v>
      </c>
      <c r="J59">
        <f t="shared" si="0"/>
        <v>8</v>
      </c>
      <c r="K59">
        <f t="shared" si="1"/>
        <v>0</v>
      </c>
      <c r="L59">
        <f t="shared" si="2"/>
        <v>4</v>
      </c>
      <c r="M59">
        <f t="shared" si="3"/>
        <v>0</v>
      </c>
      <c r="N59">
        <f t="shared" si="4"/>
        <v>0</v>
      </c>
    </row>
    <row r="60" spans="1:14" hidden="1" x14ac:dyDescent="0.3">
      <c r="A60" t="s">
        <v>238</v>
      </c>
      <c r="B60" t="b">
        <v>0</v>
      </c>
      <c r="C60">
        <v>15</v>
      </c>
      <c r="D60">
        <v>33</v>
      </c>
      <c r="E60" t="s">
        <v>329</v>
      </c>
      <c r="J60">
        <f t="shared" si="0"/>
        <v>0</v>
      </c>
      <c r="K60">
        <f t="shared" si="1"/>
        <v>0</v>
      </c>
      <c r="L60">
        <f t="shared" si="2"/>
        <v>0</v>
      </c>
      <c r="M60">
        <f t="shared" si="3"/>
        <v>0</v>
      </c>
      <c r="N60">
        <f t="shared" si="4"/>
        <v>0</v>
      </c>
    </row>
    <row r="61" spans="1:14" hidden="1" x14ac:dyDescent="0.3">
      <c r="A61" t="s">
        <v>239</v>
      </c>
      <c r="B61" t="b">
        <v>0</v>
      </c>
      <c r="C61">
        <v>14</v>
      </c>
      <c r="D61">
        <v>33</v>
      </c>
      <c r="E61" t="s">
        <v>329</v>
      </c>
      <c r="J61">
        <f t="shared" si="0"/>
        <v>0</v>
      </c>
      <c r="K61">
        <f t="shared" si="1"/>
        <v>0</v>
      </c>
      <c r="L61">
        <f t="shared" si="2"/>
        <v>0</v>
      </c>
      <c r="M61">
        <f t="shared" si="3"/>
        <v>0</v>
      </c>
      <c r="N61">
        <f t="shared" si="4"/>
        <v>0</v>
      </c>
    </row>
    <row r="62" spans="1:14" hidden="1" x14ac:dyDescent="0.3">
      <c r="A62" t="s">
        <v>172</v>
      </c>
      <c r="B62" t="b">
        <v>0</v>
      </c>
      <c r="C62">
        <v>21</v>
      </c>
      <c r="D62">
        <v>35</v>
      </c>
      <c r="E62" t="s">
        <v>327</v>
      </c>
      <c r="J62">
        <f t="shared" si="0"/>
        <v>0</v>
      </c>
      <c r="K62">
        <f t="shared" si="1"/>
        <v>0</v>
      </c>
      <c r="L62">
        <f t="shared" si="2"/>
        <v>0</v>
      </c>
      <c r="M62">
        <f t="shared" si="3"/>
        <v>0</v>
      </c>
      <c r="N62">
        <f t="shared" si="4"/>
        <v>0</v>
      </c>
    </row>
    <row r="63" spans="1:14" hidden="1" x14ac:dyDescent="0.3">
      <c r="A63" t="s">
        <v>274</v>
      </c>
      <c r="B63" t="b">
        <v>0</v>
      </c>
      <c r="C63">
        <v>20</v>
      </c>
      <c r="D63">
        <v>35</v>
      </c>
      <c r="E63" t="s">
        <v>328</v>
      </c>
      <c r="J63">
        <f t="shared" si="0"/>
        <v>0</v>
      </c>
      <c r="K63">
        <f t="shared" si="1"/>
        <v>0</v>
      </c>
      <c r="L63">
        <f t="shared" si="2"/>
        <v>0</v>
      </c>
      <c r="M63">
        <f t="shared" si="3"/>
        <v>0</v>
      </c>
      <c r="N63">
        <f t="shared" si="4"/>
        <v>0</v>
      </c>
    </row>
    <row r="64" spans="1:14" hidden="1" x14ac:dyDescent="0.3">
      <c r="A64" t="s">
        <v>212</v>
      </c>
      <c r="B64" t="b">
        <v>0</v>
      </c>
      <c r="C64">
        <v>20</v>
      </c>
      <c r="D64">
        <v>36</v>
      </c>
      <c r="E64" t="s">
        <v>328</v>
      </c>
      <c r="J64">
        <f t="shared" si="0"/>
        <v>0</v>
      </c>
      <c r="K64">
        <f t="shared" si="1"/>
        <v>0</v>
      </c>
      <c r="L64">
        <f t="shared" si="2"/>
        <v>0</v>
      </c>
      <c r="M64">
        <f t="shared" si="3"/>
        <v>0</v>
      </c>
      <c r="N64">
        <f t="shared" si="4"/>
        <v>0</v>
      </c>
    </row>
    <row r="65" spans="1:14" x14ac:dyDescent="0.3">
      <c r="A65" t="s">
        <v>218</v>
      </c>
      <c r="B65" t="b">
        <v>0</v>
      </c>
      <c r="C65">
        <v>18</v>
      </c>
      <c r="D65">
        <v>36</v>
      </c>
      <c r="E65">
        <v>4</v>
      </c>
      <c r="J65">
        <f t="shared" si="0"/>
        <v>9</v>
      </c>
      <c r="K65">
        <f t="shared" si="1"/>
        <v>6</v>
      </c>
      <c r="L65">
        <f t="shared" si="2"/>
        <v>0</v>
      </c>
      <c r="M65">
        <f t="shared" si="3"/>
        <v>0</v>
      </c>
      <c r="N65">
        <f t="shared" si="4"/>
        <v>3</v>
      </c>
    </row>
    <row r="66" spans="1:14" x14ac:dyDescent="0.3">
      <c r="A66" t="s">
        <v>220</v>
      </c>
      <c r="B66" t="b">
        <v>1</v>
      </c>
      <c r="C66">
        <v>18</v>
      </c>
      <c r="D66">
        <v>36</v>
      </c>
      <c r="E66">
        <v>4</v>
      </c>
      <c r="F66">
        <v>4</v>
      </c>
      <c r="G66">
        <v>9</v>
      </c>
      <c r="H66">
        <v>12</v>
      </c>
      <c r="J66">
        <f t="shared" si="0"/>
        <v>9</v>
      </c>
      <c r="K66">
        <f t="shared" si="1"/>
        <v>6</v>
      </c>
      <c r="L66">
        <f t="shared" si="2"/>
        <v>0</v>
      </c>
      <c r="M66">
        <f t="shared" si="3"/>
        <v>0</v>
      </c>
      <c r="N66">
        <f t="shared" si="4"/>
        <v>3</v>
      </c>
    </row>
    <row r="67" spans="1:14" x14ac:dyDescent="0.3">
      <c r="A67" t="s">
        <v>294</v>
      </c>
      <c r="B67" t="b">
        <v>0</v>
      </c>
      <c r="C67">
        <v>18</v>
      </c>
      <c r="D67">
        <v>36</v>
      </c>
      <c r="E67">
        <v>4</v>
      </c>
      <c r="J67">
        <f t="shared" ref="J67:J124" si="5">IF(ISNUMBER($E67),IF(AND((INT($D67/4)=$D67/4),($E67=4)),$D67/4,0),0)</f>
        <v>9</v>
      </c>
      <c r="K67">
        <f t="shared" ref="K67:K124" si="6">IF(ISNUMBER($E67),IF(AND((INT($D67/6)=$D67/6),($E67=4)),$D67/6,0),0)</f>
        <v>6</v>
      </c>
      <c r="L67">
        <f t="shared" ref="L67:L124" si="7">IF(ISNUMBER($E67),IF(AND((INT($D67/8)=$D67/8),($E67=4)),$D67/8,0),0)</f>
        <v>0</v>
      </c>
      <c r="M67">
        <f t="shared" ref="M67:M124" si="8">IF(ISNUMBER($E67),IF(AND((INT($D67/10)=$D67/10),($E67=4)),$D67/10,0),0)</f>
        <v>0</v>
      </c>
      <c r="N67">
        <f t="shared" ref="N67:N124" si="9">IF(ISNUMBER($E67),IF(AND((INT($D67/12)=$D67/12),($E67=4)),$D67/12,0),0)</f>
        <v>3</v>
      </c>
    </row>
    <row r="68" spans="1:14" hidden="1" x14ac:dyDescent="0.3">
      <c r="A68" t="s">
        <v>305</v>
      </c>
      <c r="B68" t="b">
        <v>0</v>
      </c>
      <c r="C68">
        <v>24</v>
      </c>
      <c r="D68">
        <v>36</v>
      </c>
      <c r="E68">
        <v>3</v>
      </c>
      <c r="J68">
        <f t="shared" si="5"/>
        <v>0</v>
      </c>
      <c r="K68">
        <f t="shared" si="6"/>
        <v>0</v>
      </c>
      <c r="L68">
        <f t="shared" si="7"/>
        <v>0</v>
      </c>
      <c r="M68">
        <f t="shared" si="8"/>
        <v>0</v>
      </c>
      <c r="N68">
        <f t="shared" si="9"/>
        <v>0</v>
      </c>
    </row>
    <row r="69" spans="1:14" hidden="1" x14ac:dyDescent="0.3">
      <c r="A69" t="s">
        <v>310</v>
      </c>
      <c r="B69" t="b">
        <v>0</v>
      </c>
      <c r="C69">
        <v>24</v>
      </c>
      <c r="D69">
        <v>36</v>
      </c>
      <c r="E69">
        <v>3</v>
      </c>
      <c r="J69">
        <f t="shared" si="5"/>
        <v>0</v>
      </c>
      <c r="K69">
        <f t="shared" si="6"/>
        <v>0</v>
      </c>
      <c r="L69">
        <f t="shared" si="7"/>
        <v>0</v>
      </c>
      <c r="M69">
        <f t="shared" si="8"/>
        <v>0</v>
      </c>
      <c r="N69">
        <f t="shared" si="9"/>
        <v>0</v>
      </c>
    </row>
    <row r="70" spans="1:14" hidden="1" x14ac:dyDescent="0.3">
      <c r="A70" t="s">
        <v>194</v>
      </c>
      <c r="B70" t="b">
        <v>0</v>
      </c>
      <c r="C70">
        <v>16</v>
      </c>
      <c r="D70">
        <v>38</v>
      </c>
      <c r="E70" t="s">
        <v>329</v>
      </c>
      <c r="J70">
        <f t="shared" si="5"/>
        <v>0</v>
      </c>
      <c r="K70">
        <f t="shared" si="6"/>
        <v>0</v>
      </c>
      <c r="L70">
        <f t="shared" si="7"/>
        <v>0</v>
      </c>
      <c r="M70">
        <f t="shared" si="8"/>
        <v>0</v>
      </c>
      <c r="N70">
        <f t="shared" si="9"/>
        <v>0</v>
      </c>
    </row>
    <row r="71" spans="1:14" x14ac:dyDescent="0.3">
      <c r="A71" t="s">
        <v>190</v>
      </c>
      <c r="B71" t="b">
        <v>0</v>
      </c>
      <c r="C71">
        <v>20</v>
      </c>
      <c r="D71">
        <v>40</v>
      </c>
      <c r="E71">
        <v>4</v>
      </c>
      <c r="J71">
        <f t="shared" si="5"/>
        <v>10</v>
      </c>
      <c r="K71">
        <f t="shared" si="6"/>
        <v>0</v>
      </c>
      <c r="L71">
        <f t="shared" si="7"/>
        <v>5</v>
      </c>
      <c r="M71">
        <f t="shared" si="8"/>
        <v>4</v>
      </c>
      <c r="N71">
        <f t="shared" si="9"/>
        <v>0</v>
      </c>
    </row>
    <row r="72" spans="1:14" hidden="1" x14ac:dyDescent="0.3">
      <c r="A72" t="s">
        <v>245</v>
      </c>
      <c r="B72" t="b">
        <v>0</v>
      </c>
      <c r="C72">
        <v>22</v>
      </c>
      <c r="D72">
        <v>40</v>
      </c>
      <c r="E72" t="s">
        <v>327</v>
      </c>
      <c r="J72">
        <f t="shared" si="5"/>
        <v>0</v>
      </c>
      <c r="K72">
        <f t="shared" si="6"/>
        <v>0</v>
      </c>
      <c r="L72">
        <f t="shared" si="7"/>
        <v>0</v>
      </c>
      <c r="M72">
        <f t="shared" si="8"/>
        <v>0</v>
      </c>
      <c r="N72">
        <f t="shared" si="9"/>
        <v>0</v>
      </c>
    </row>
    <row r="73" spans="1:14" hidden="1" x14ac:dyDescent="0.3">
      <c r="A73" t="s">
        <v>257</v>
      </c>
      <c r="B73" t="b">
        <v>0</v>
      </c>
      <c r="C73">
        <v>22</v>
      </c>
      <c r="D73">
        <v>40</v>
      </c>
      <c r="E73" t="s">
        <v>327</v>
      </c>
      <c r="J73">
        <f t="shared" si="5"/>
        <v>0</v>
      </c>
      <c r="K73">
        <f t="shared" si="6"/>
        <v>0</v>
      </c>
      <c r="L73">
        <f t="shared" si="7"/>
        <v>0</v>
      </c>
      <c r="M73">
        <f t="shared" si="8"/>
        <v>0</v>
      </c>
      <c r="N73">
        <f t="shared" si="9"/>
        <v>0</v>
      </c>
    </row>
    <row r="74" spans="1:14" x14ac:dyDescent="0.3">
      <c r="A74" t="s">
        <v>267</v>
      </c>
      <c r="B74" t="b">
        <v>1</v>
      </c>
      <c r="C74">
        <v>20</v>
      </c>
      <c r="D74">
        <v>40</v>
      </c>
      <c r="E74">
        <v>4</v>
      </c>
      <c r="F74">
        <v>4</v>
      </c>
      <c r="G74">
        <v>10</v>
      </c>
      <c r="H74">
        <v>13</v>
      </c>
      <c r="J74">
        <f t="shared" si="5"/>
        <v>10</v>
      </c>
      <c r="K74">
        <f t="shared" si="6"/>
        <v>0</v>
      </c>
      <c r="L74">
        <f t="shared" si="7"/>
        <v>5</v>
      </c>
      <c r="M74">
        <f t="shared" si="8"/>
        <v>4</v>
      </c>
      <c r="N74">
        <f t="shared" si="9"/>
        <v>0</v>
      </c>
    </row>
    <row r="75" spans="1:14" x14ac:dyDescent="0.3">
      <c r="A75" t="s">
        <v>269</v>
      </c>
      <c r="B75" t="b">
        <v>0</v>
      </c>
      <c r="C75">
        <v>20</v>
      </c>
      <c r="D75">
        <v>40</v>
      </c>
      <c r="E75">
        <v>4</v>
      </c>
      <c r="J75">
        <f t="shared" si="5"/>
        <v>10</v>
      </c>
      <c r="K75">
        <f t="shared" si="6"/>
        <v>0</v>
      </c>
      <c r="L75">
        <f t="shared" si="7"/>
        <v>5</v>
      </c>
      <c r="M75">
        <f t="shared" si="8"/>
        <v>4</v>
      </c>
      <c r="N75">
        <f t="shared" si="9"/>
        <v>0</v>
      </c>
    </row>
    <row r="76" spans="1:14" hidden="1" x14ac:dyDescent="0.3">
      <c r="A76" t="s">
        <v>281</v>
      </c>
      <c r="B76" t="b">
        <v>0</v>
      </c>
      <c r="C76">
        <v>16</v>
      </c>
      <c r="D76">
        <v>40</v>
      </c>
      <c r="E76">
        <v>5</v>
      </c>
      <c r="J76">
        <f t="shared" si="5"/>
        <v>0</v>
      </c>
      <c r="K76">
        <f t="shared" si="6"/>
        <v>0</v>
      </c>
      <c r="L76">
        <f t="shared" si="7"/>
        <v>0</v>
      </c>
      <c r="M76">
        <f t="shared" si="8"/>
        <v>0</v>
      </c>
      <c r="N76">
        <f t="shared" si="9"/>
        <v>0</v>
      </c>
    </row>
    <row r="77" spans="1:14" hidden="1" x14ac:dyDescent="0.3">
      <c r="A77" t="s">
        <v>237</v>
      </c>
      <c r="B77" t="b">
        <v>0</v>
      </c>
      <c r="C77">
        <v>18</v>
      </c>
      <c r="D77">
        <v>42</v>
      </c>
      <c r="E77" t="s">
        <v>329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  <c r="N77">
        <f t="shared" si="9"/>
        <v>0</v>
      </c>
    </row>
    <row r="78" spans="1:14" hidden="1" x14ac:dyDescent="0.3">
      <c r="A78" t="s">
        <v>235</v>
      </c>
      <c r="B78" t="b">
        <v>0</v>
      </c>
      <c r="C78">
        <v>20</v>
      </c>
      <c r="D78">
        <v>44</v>
      </c>
      <c r="E78" t="s">
        <v>329</v>
      </c>
      <c r="J78">
        <f t="shared" si="5"/>
        <v>0</v>
      </c>
      <c r="K78">
        <f t="shared" si="6"/>
        <v>0</v>
      </c>
      <c r="L78">
        <f t="shared" si="7"/>
        <v>0</v>
      </c>
      <c r="M78">
        <f t="shared" si="8"/>
        <v>0</v>
      </c>
      <c r="N78">
        <f t="shared" si="9"/>
        <v>0</v>
      </c>
    </row>
    <row r="79" spans="1:14" hidden="1" x14ac:dyDescent="0.3">
      <c r="A79" t="s">
        <v>197</v>
      </c>
      <c r="B79" t="b">
        <v>0</v>
      </c>
      <c r="C79">
        <v>25</v>
      </c>
      <c r="D79">
        <v>45</v>
      </c>
      <c r="E79" t="s">
        <v>328</v>
      </c>
      <c r="J79">
        <f t="shared" si="5"/>
        <v>0</v>
      </c>
      <c r="K79">
        <f t="shared" si="6"/>
        <v>0</v>
      </c>
      <c r="L79">
        <f t="shared" si="7"/>
        <v>0</v>
      </c>
      <c r="M79">
        <f t="shared" si="8"/>
        <v>0</v>
      </c>
      <c r="N79">
        <f t="shared" si="9"/>
        <v>0</v>
      </c>
    </row>
    <row r="80" spans="1:14" hidden="1" x14ac:dyDescent="0.3">
      <c r="A80" t="s">
        <v>297</v>
      </c>
      <c r="B80" t="b">
        <v>0</v>
      </c>
      <c r="C80">
        <v>23</v>
      </c>
      <c r="D80">
        <v>45</v>
      </c>
      <c r="E80" t="s">
        <v>327</v>
      </c>
      <c r="J80">
        <f t="shared" si="5"/>
        <v>0</v>
      </c>
      <c r="K80">
        <f t="shared" si="6"/>
        <v>0</v>
      </c>
      <c r="L80">
        <f t="shared" si="7"/>
        <v>0</v>
      </c>
      <c r="M80">
        <f t="shared" si="8"/>
        <v>0</v>
      </c>
      <c r="N80">
        <f t="shared" si="9"/>
        <v>0</v>
      </c>
    </row>
    <row r="81" spans="1:14" hidden="1" x14ac:dyDescent="0.3">
      <c r="A81" t="s">
        <v>179</v>
      </c>
      <c r="B81" t="b">
        <v>0</v>
      </c>
      <c r="C81">
        <v>28</v>
      </c>
      <c r="D81">
        <v>48</v>
      </c>
      <c r="E81" t="s">
        <v>328</v>
      </c>
      <c r="J81">
        <f t="shared" si="5"/>
        <v>0</v>
      </c>
      <c r="K81">
        <f t="shared" si="6"/>
        <v>0</v>
      </c>
      <c r="L81">
        <f t="shared" si="7"/>
        <v>0</v>
      </c>
      <c r="M81">
        <f t="shared" si="8"/>
        <v>0</v>
      </c>
      <c r="N81">
        <f t="shared" si="9"/>
        <v>0</v>
      </c>
    </row>
    <row r="82" spans="1:14" x14ac:dyDescent="0.3">
      <c r="A82" t="s">
        <v>213</v>
      </c>
      <c r="B82" t="b">
        <v>0</v>
      </c>
      <c r="C82">
        <v>24</v>
      </c>
      <c r="D82">
        <v>48</v>
      </c>
      <c r="E82">
        <v>4</v>
      </c>
      <c r="J82">
        <f t="shared" si="5"/>
        <v>12</v>
      </c>
      <c r="K82">
        <f t="shared" si="6"/>
        <v>8</v>
      </c>
      <c r="L82">
        <f t="shared" si="7"/>
        <v>6</v>
      </c>
      <c r="M82">
        <f t="shared" si="8"/>
        <v>0</v>
      </c>
      <c r="N82">
        <f t="shared" si="9"/>
        <v>4</v>
      </c>
    </row>
    <row r="83" spans="1:14" x14ac:dyDescent="0.3">
      <c r="A83" t="s">
        <v>276</v>
      </c>
      <c r="B83" t="b">
        <v>1</v>
      </c>
      <c r="C83">
        <v>24</v>
      </c>
      <c r="D83">
        <v>48</v>
      </c>
      <c r="E83">
        <v>4</v>
      </c>
      <c r="F83">
        <v>12</v>
      </c>
      <c r="G83">
        <v>4</v>
      </c>
      <c r="H83">
        <v>4</v>
      </c>
      <c r="J83">
        <f t="shared" si="5"/>
        <v>12</v>
      </c>
      <c r="K83">
        <f t="shared" si="6"/>
        <v>8</v>
      </c>
      <c r="L83">
        <f t="shared" si="7"/>
        <v>6</v>
      </c>
      <c r="M83">
        <f t="shared" si="8"/>
        <v>0</v>
      </c>
      <c r="N83">
        <f t="shared" si="9"/>
        <v>4</v>
      </c>
    </row>
    <row r="84" spans="1:14" x14ac:dyDescent="0.3">
      <c r="A84" t="s">
        <v>268</v>
      </c>
      <c r="B84" t="b">
        <v>0</v>
      </c>
      <c r="C84">
        <v>25</v>
      </c>
      <c r="D84">
        <v>50</v>
      </c>
      <c r="E84">
        <v>4</v>
      </c>
      <c r="J84">
        <f t="shared" si="5"/>
        <v>0</v>
      </c>
      <c r="K84">
        <f t="shared" si="6"/>
        <v>0</v>
      </c>
      <c r="L84">
        <f t="shared" si="7"/>
        <v>0</v>
      </c>
      <c r="M84">
        <f t="shared" si="8"/>
        <v>5</v>
      </c>
      <c r="N84">
        <f t="shared" si="9"/>
        <v>0</v>
      </c>
    </row>
    <row r="85" spans="1:14" x14ac:dyDescent="0.3">
      <c r="A85" t="s">
        <v>271</v>
      </c>
      <c r="B85" t="b">
        <v>1</v>
      </c>
      <c r="C85">
        <v>25</v>
      </c>
      <c r="D85">
        <v>50</v>
      </c>
      <c r="E85">
        <v>4</v>
      </c>
      <c r="F85">
        <v>10</v>
      </c>
      <c r="G85">
        <v>5</v>
      </c>
      <c r="H85">
        <v>7</v>
      </c>
      <c r="J85">
        <f t="shared" si="5"/>
        <v>0</v>
      </c>
      <c r="K85">
        <f t="shared" si="6"/>
        <v>0</v>
      </c>
      <c r="L85">
        <f t="shared" si="7"/>
        <v>0</v>
      </c>
      <c r="M85">
        <f t="shared" si="8"/>
        <v>5</v>
      </c>
      <c r="N85">
        <f t="shared" si="9"/>
        <v>0</v>
      </c>
    </row>
    <row r="86" spans="1:14" hidden="1" x14ac:dyDescent="0.3">
      <c r="A86" t="s">
        <v>209</v>
      </c>
      <c r="B86" t="b">
        <v>0</v>
      </c>
      <c r="C86">
        <v>30</v>
      </c>
      <c r="D86">
        <v>55</v>
      </c>
      <c r="E86" t="s">
        <v>328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  <c r="N86">
        <f t="shared" si="9"/>
        <v>0</v>
      </c>
    </row>
    <row r="87" spans="1:14" hidden="1" x14ac:dyDescent="0.3">
      <c r="A87" t="s">
        <v>229</v>
      </c>
      <c r="B87" t="b">
        <v>0</v>
      </c>
      <c r="C87">
        <v>25</v>
      </c>
      <c r="D87">
        <v>55</v>
      </c>
      <c r="E87" t="s">
        <v>329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  <c r="N87">
        <f t="shared" si="9"/>
        <v>0</v>
      </c>
    </row>
    <row r="88" spans="1:14" hidden="1" x14ac:dyDescent="0.3">
      <c r="A88" t="s">
        <v>233</v>
      </c>
      <c r="B88" t="b">
        <v>0</v>
      </c>
      <c r="C88">
        <v>24</v>
      </c>
      <c r="D88">
        <v>56</v>
      </c>
      <c r="E88" t="s">
        <v>329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  <c r="N88">
        <f t="shared" si="9"/>
        <v>0</v>
      </c>
    </row>
    <row r="89" spans="1:14" hidden="1" x14ac:dyDescent="0.3">
      <c r="A89" t="s">
        <v>184</v>
      </c>
      <c r="B89" t="b">
        <v>0</v>
      </c>
      <c r="C89">
        <v>32</v>
      </c>
      <c r="D89">
        <v>60</v>
      </c>
      <c r="E89" t="s">
        <v>328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  <c r="N89">
        <f t="shared" si="9"/>
        <v>0</v>
      </c>
    </row>
    <row r="90" spans="1:14" x14ac:dyDescent="0.3">
      <c r="A90" t="s">
        <v>198</v>
      </c>
      <c r="B90" t="b">
        <v>1</v>
      </c>
      <c r="C90">
        <v>30</v>
      </c>
      <c r="D90">
        <v>60</v>
      </c>
      <c r="E90">
        <v>4</v>
      </c>
      <c r="F90">
        <v>12</v>
      </c>
      <c r="G90">
        <v>5</v>
      </c>
      <c r="H90">
        <v>6</v>
      </c>
      <c r="J90">
        <f t="shared" si="5"/>
        <v>15</v>
      </c>
      <c r="K90">
        <f t="shared" si="6"/>
        <v>10</v>
      </c>
      <c r="L90">
        <f t="shared" si="7"/>
        <v>0</v>
      </c>
      <c r="M90">
        <f t="shared" si="8"/>
        <v>6</v>
      </c>
      <c r="N90">
        <f t="shared" si="9"/>
        <v>5</v>
      </c>
    </row>
    <row r="91" spans="1:14" x14ac:dyDescent="0.3">
      <c r="A91" t="s">
        <v>203</v>
      </c>
      <c r="B91" t="b">
        <v>1</v>
      </c>
      <c r="C91">
        <v>30</v>
      </c>
      <c r="D91">
        <v>60</v>
      </c>
      <c r="E91">
        <v>4</v>
      </c>
      <c r="F91">
        <v>12</v>
      </c>
      <c r="G91">
        <v>5</v>
      </c>
      <c r="H91">
        <v>6</v>
      </c>
      <c r="J91">
        <f t="shared" si="5"/>
        <v>15</v>
      </c>
      <c r="K91">
        <f t="shared" si="6"/>
        <v>10</v>
      </c>
      <c r="L91">
        <f t="shared" si="7"/>
        <v>0</v>
      </c>
      <c r="M91">
        <f t="shared" si="8"/>
        <v>6</v>
      </c>
      <c r="N91">
        <f t="shared" si="9"/>
        <v>5</v>
      </c>
    </row>
    <row r="92" spans="1:14" x14ac:dyDescent="0.3">
      <c r="A92" t="s">
        <v>244</v>
      </c>
      <c r="B92" t="b">
        <v>1</v>
      </c>
      <c r="C92">
        <v>30</v>
      </c>
      <c r="D92">
        <v>60</v>
      </c>
      <c r="E92">
        <v>4</v>
      </c>
      <c r="F92">
        <v>10</v>
      </c>
      <c r="G92">
        <v>6</v>
      </c>
      <c r="H92">
        <v>6</v>
      </c>
      <c r="J92">
        <f t="shared" si="5"/>
        <v>15</v>
      </c>
      <c r="K92">
        <f t="shared" si="6"/>
        <v>10</v>
      </c>
      <c r="L92">
        <f t="shared" si="7"/>
        <v>0</v>
      </c>
      <c r="M92">
        <f t="shared" si="8"/>
        <v>6</v>
      </c>
      <c r="N92">
        <f t="shared" si="9"/>
        <v>5</v>
      </c>
    </row>
    <row r="93" spans="1:14" x14ac:dyDescent="0.3">
      <c r="A93" t="s">
        <v>270</v>
      </c>
      <c r="B93" t="b">
        <v>1</v>
      </c>
      <c r="C93">
        <v>30</v>
      </c>
      <c r="D93">
        <v>60</v>
      </c>
      <c r="E93">
        <v>4</v>
      </c>
      <c r="F93">
        <v>10</v>
      </c>
      <c r="G93">
        <v>6</v>
      </c>
      <c r="H93">
        <v>7</v>
      </c>
      <c r="J93">
        <f t="shared" si="5"/>
        <v>15</v>
      </c>
      <c r="K93">
        <f t="shared" si="6"/>
        <v>10</v>
      </c>
      <c r="L93">
        <f t="shared" si="7"/>
        <v>0</v>
      </c>
      <c r="M93">
        <f t="shared" si="8"/>
        <v>6</v>
      </c>
      <c r="N93">
        <f t="shared" si="9"/>
        <v>5</v>
      </c>
    </row>
    <row r="94" spans="1:14" hidden="1" x14ac:dyDescent="0.3">
      <c r="A94" t="s">
        <v>278</v>
      </c>
      <c r="B94" t="b">
        <v>0</v>
      </c>
      <c r="C94">
        <v>24</v>
      </c>
      <c r="D94">
        <v>60</v>
      </c>
      <c r="E94">
        <v>5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  <c r="N94">
        <f t="shared" si="9"/>
        <v>0</v>
      </c>
    </row>
    <row r="95" spans="1:14" hidden="1" x14ac:dyDescent="0.3">
      <c r="A95" t="s">
        <v>232</v>
      </c>
      <c r="B95" t="b">
        <v>0</v>
      </c>
      <c r="C95">
        <v>30</v>
      </c>
      <c r="D95">
        <v>65</v>
      </c>
      <c r="E95" t="s">
        <v>329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  <c r="N95">
        <f t="shared" si="9"/>
        <v>0</v>
      </c>
    </row>
    <row r="96" spans="1:14" x14ac:dyDescent="0.3">
      <c r="A96" t="s">
        <v>202</v>
      </c>
      <c r="B96" t="b">
        <v>0</v>
      </c>
      <c r="C96">
        <v>35</v>
      </c>
      <c r="D96">
        <v>70</v>
      </c>
      <c r="E96">
        <v>4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7</v>
      </c>
      <c r="N96">
        <f t="shared" si="9"/>
        <v>0</v>
      </c>
    </row>
    <row r="97" spans="1:14" x14ac:dyDescent="0.3">
      <c r="A97" t="s">
        <v>207</v>
      </c>
      <c r="B97" t="b">
        <v>1</v>
      </c>
      <c r="C97">
        <v>35</v>
      </c>
      <c r="D97">
        <v>70</v>
      </c>
      <c r="E97">
        <v>4</v>
      </c>
      <c r="F97">
        <v>10</v>
      </c>
      <c r="G97">
        <v>7</v>
      </c>
      <c r="H97">
        <v>9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7</v>
      </c>
      <c r="N97">
        <f t="shared" si="9"/>
        <v>0</v>
      </c>
    </row>
    <row r="98" spans="1:14" hidden="1" x14ac:dyDescent="0.3">
      <c r="A98" t="s">
        <v>227</v>
      </c>
      <c r="B98" t="b">
        <v>0</v>
      </c>
      <c r="C98">
        <v>30</v>
      </c>
      <c r="D98">
        <v>70</v>
      </c>
      <c r="E98" t="s">
        <v>329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  <c r="N98">
        <f t="shared" si="9"/>
        <v>0</v>
      </c>
    </row>
    <row r="99" spans="1:14" hidden="1" x14ac:dyDescent="0.3">
      <c r="A99" t="s">
        <v>306</v>
      </c>
      <c r="B99" t="b">
        <v>0</v>
      </c>
      <c r="C99">
        <v>48</v>
      </c>
      <c r="D99">
        <v>72</v>
      </c>
      <c r="E99">
        <v>3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  <c r="N99">
        <f t="shared" si="9"/>
        <v>0</v>
      </c>
    </row>
    <row r="100" spans="1:14" hidden="1" x14ac:dyDescent="0.3">
      <c r="A100" t="s">
        <v>302</v>
      </c>
      <c r="B100" t="b">
        <v>0</v>
      </c>
      <c r="C100">
        <v>45</v>
      </c>
      <c r="D100">
        <v>75</v>
      </c>
      <c r="E100" t="s">
        <v>328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  <c r="N100">
        <f t="shared" si="9"/>
        <v>0</v>
      </c>
    </row>
    <row r="101" spans="1:14" x14ac:dyDescent="0.3">
      <c r="A101" t="s">
        <v>200</v>
      </c>
      <c r="B101" t="b">
        <v>0</v>
      </c>
      <c r="C101">
        <v>40</v>
      </c>
      <c r="D101">
        <v>80</v>
      </c>
      <c r="E101">
        <v>4</v>
      </c>
      <c r="J101">
        <f t="shared" si="5"/>
        <v>20</v>
      </c>
      <c r="K101">
        <f t="shared" si="6"/>
        <v>0</v>
      </c>
      <c r="L101">
        <f t="shared" si="7"/>
        <v>10</v>
      </c>
      <c r="M101">
        <f t="shared" si="8"/>
        <v>8</v>
      </c>
      <c r="N101">
        <f t="shared" si="9"/>
        <v>0</v>
      </c>
    </row>
    <row r="102" spans="1:14" x14ac:dyDescent="0.3">
      <c r="A102" t="s">
        <v>205</v>
      </c>
      <c r="B102" t="b">
        <v>0</v>
      </c>
      <c r="C102">
        <v>40</v>
      </c>
      <c r="D102">
        <v>80</v>
      </c>
      <c r="E102">
        <v>4</v>
      </c>
      <c r="J102">
        <f t="shared" si="5"/>
        <v>20</v>
      </c>
      <c r="K102">
        <f t="shared" si="6"/>
        <v>0</v>
      </c>
      <c r="L102">
        <f t="shared" si="7"/>
        <v>10</v>
      </c>
      <c r="M102">
        <f t="shared" si="8"/>
        <v>8</v>
      </c>
      <c r="N102">
        <f t="shared" si="9"/>
        <v>0</v>
      </c>
    </row>
    <row r="103" spans="1:14" hidden="1" x14ac:dyDescent="0.3">
      <c r="A103" t="s">
        <v>230</v>
      </c>
      <c r="B103" t="b">
        <v>0</v>
      </c>
      <c r="C103">
        <v>35</v>
      </c>
      <c r="D103">
        <v>80</v>
      </c>
      <c r="E103" t="s">
        <v>329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  <c r="N103">
        <f t="shared" si="9"/>
        <v>0</v>
      </c>
    </row>
    <row r="104" spans="1:14" hidden="1" x14ac:dyDescent="0.3">
      <c r="A104" t="s">
        <v>223</v>
      </c>
      <c r="B104" t="b">
        <v>0</v>
      </c>
      <c r="C104">
        <v>50</v>
      </c>
      <c r="D104">
        <v>90</v>
      </c>
      <c r="E104" t="s">
        <v>328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  <c r="N104">
        <f t="shared" si="9"/>
        <v>0</v>
      </c>
    </row>
    <row r="105" spans="1:14" hidden="1" x14ac:dyDescent="0.3">
      <c r="A105" t="s">
        <v>228</v>
      </c>
      <c r="B105" t="b">
        <v>0</v>
      </c>
      <c r="C105">
        <v>40</v>
      </c>
      <c r="D105">
        <v>90</v>
      </c>
      <c r="E105" t="s">
        <v>329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  <c r="N105">
        <f t="shared" si="9"/>
        <v>0</v>
      </c>
    </row>
    <row r="106" spans="1:14" hidden="1" x14ac:dyDescent="0.3">
      <c r="A106" t="s">
        <v>249</v>
      </c>
      <c r="B106" t="b">
        <v>0</v>
      </c>
      <c r="C106">
        <v>50</v>
      </c>
      <c r="D106">
        <v>90</v>
      </c>
      <c r="E106" t="s">
        <v>328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  <c r="N106">
        <f t="shared" si="9"/>
        <v>0</v>
      </c>
    </row>
    <row r="107" spans="1:14" hidden="1" x14ac:dyDescent="0.3">
      <c r="A107" t="s">
        <v>260</v>
      </c>
      <c r="B107" t="b">
        <v>0</v>
      </c>
      <c r="C107">
        <v>50</v>
      </c>
      <c r="D107">
        <v>90</v>
      </c>
      <c r="E107" t="s">
        <v>328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  <c r="N107">
        <f t="shared" si="9"/>
        <v>0</v>
      </c>
    </row>
    <row r="108" spans="1:14" hidden="1" x14ac:dyDescent="0.3">
      <c r="A108" t="s">
        <v>307</v>
      </c>
      <c r="B108" t="b">
        <v>0</v>
      </c>
      <c r="C108">
        <v>60</v>
      </c>
      <c r="D108">
        <v>90</v>
      </c>
      <c r="E108">
        <v>3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  <c r="N108">
        <f t="shared" si="9"/>
        <v>0</v>
      </c>
    </row>
    <row r="109" spans="1:14" hidden="1" x14ac:dyDescent="0.3">
      <c r="A109" t="s">
        <v>308</v>
      </c>
      <c r="B109" t="b">
        <v>0</v>
      </c>
      <c r="C109">
        <v>60</v>
      </c>
      <c r="D109">
        <v>90</v>
      </c>
      <c r="E109">
        <v>3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  <c r="N109">
        <f t="shared" si="9"/>
        <v>0</v>
      </c>
    </row>
    <row r="110" spans="1:14" hidden="1" x14ac:dyDescent="0.3">
      <c r="A110" t="s">
        <v>180</v>
      </c>
      <c r="B110" t="b">
        <v>0</v>
      </c>
      <c r="C110">
        <v>65</v>
      </c>
      <c r="D110">
        <v>105</v>
      </c>
      <c r="E110" t="s">
        <v>328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  <c r="N110">
        <f t="shared" si="9"/>
        <v>0</v>
      </c>
    </row>
    <row r="111" spans="1:14" hidden="1" x14ac:dyDescent="0.3">
      <c r="A111" t="s">
        <v>185</v>
      </c>
      <c r="B111" t="b">
        <v>0</v>
      </c>
      <c r="C111">
        <v>55</v>
      </c>
      <c r="D111">
        <v>105</v>
      </c>
      <c r="E111" t="s">
        <v>328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  <c r="N111">
        <f t="shared" si="9"/>
        <v>0</v>
      </c>
    </row>
    <row r="112" spans="1:14" hidden="1" x14ac:dyDescent="0.3">
      <c r="A112" t="s">
        <v>193</v>
      </c>
      <c r="B112" t="b">
        <v>0</v>
      </c>
      <c r="C112">
        <v>55</v>
      </c>
      <c r="D112">
        <v>105</v>
      </c>
      <c r="E112" t="s">
        <v>328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  <c r="N112">
        <f t="shared" si="9"/>
        <v>0</v>
      </c>
    </row>
    <row r="113" spans="1:14" hidden="1" x14ac:dyDescent="0.3">
      <c r="A113" t="s">
        <v>252</v>
      </c>
      <c r="B113" t="b">
        <v>0</v>
      </c>
      <c r="C113">
        <v>55</v>
      </c>
      <c r="D113">
        <v>105</v>
      </c>
      <c r="E113" t="s">
        <v>328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  <c r="N113">
        <f t="shared" si="9"/>
        <v>0</v>
      </c>
    </row>
    <row r="114" spans="1:14" hidden="1" x14ac:dyDescent="0.3">
      <c r="A114" t="s">
        <v>263</v>
      </c>
      <c r="B114" t="b">
        <v>0</v>
      </c>
      <c r="C114">
        <v>55</v>
      </c>
      <c r="D114">
        <v>105</v>
      </c>
      <c r="E114" t="s">
        <v>328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  <c r="N114">
        <f t="shared" si="9"/>
        <v>0</v>
      </c>
    </row>
    <row r="115" spans="1:14" x14ac:dyDescent="0.3">
      <c r="A115" t="s">
        <v>224</v>
      </c>
      <c r="B115" t="b">
        <v>0</v>
      </c>
      <c r="C115">
        <v>60</v>
      </c>
      <c r="D115">
        <v>120</v>
      </c>
      <c r="E115">
        <v>4</v>
      </c>
      <c r="J115">
        <f t="shared" si="5"/>
        <v>30</v>
      </c>
      <c r="K115">
        <f t="shared" si="6"/>
        <v>20</v>
      </c>
      <c r="L115">
        <f t="shared" si="7"/>
        <v>15</v>
      </c>
      <c r="M115">
        <f t="shared" si="8"/>
        <v>12</v>
      </c>
      <c r="N115">
        <f t="shared" si="9"/>
        <v>10</v>
      </c>
    </row>
    <row r="116" spans="1:14" hidden="1" x14ac:dyDescent="0.3">
      <c r="A116" t="s">
        <v>247</v>
      </c>
      <c r="B116" t="b">
        <v>0</v>
      </c>
      <c r="C116">
        <v>70</v>
      </c>
      <c r="D116">
        <v>120</v>
      </c>
      <c r="E116" t="s">
        <v>328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  <c r="N116">
        <f t="shared" si="9"/>
        <v>0</v>
      </c>
    </row>
    <row r="117" spans="1:14" x14ac:dyDescent="0.3">
      <c r="A117" t="s">
        <v>250</v>
      </c>
      <c r="B117" t="b">
        <v>0</v>
      </c>
      <c r="C117">
        <v>60</v>
      </c>
      <c r="D117">
        <v>120</v>
      </c>
      <c r="E117">
        <v>4</v>
      </c>
      <c r="J117">
        <f t="shared" si="5"/>
        <v>30</v>
      </c>
      <c r="K117">
        <f t="shared" si="6"/>
        <v>20</v>
      </c>
      <c r="L117">
        <f t="shared" si="7"/>
        <v>15</v>
      </c>
      <c r="M117">
        <f t="shared" si="8"/>
        <v>12</v>
      </c>
      <c r="N117">
        <f t="shared" si="9"/>
        <v>10</v>
      </c>
    </row>
    <row r="118" spans="1:14" hidden="1" x14ac:dyDescent="0.3">
      <c r="A118" t="s">
        <v>259</v>
      </c>
      <c r="B118" t="b">
        <v>0</v>
      </c>
      <c r="C118">
        <v>70</v>
      </c>
      <c r="D118">
        <v>120</v>
      </c>
      <c r="E118" t="s">
        <v>328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  <c r="N118">
        <f t="shared" si="9"/>
        <v>0</v>
      </c>
    </row>
    <row r="119" spans="1:14" x14ac:dyDescent="0.3">
      <c r="A119" t="s">
        <v>261</v>
      </c>
      <c r="B119" t="b">
        <v>0</v>
      </c>
      <c r="C119">
        <v>60</v>
      </c>
      <c r="D119">
        <v>120</v>
      </c>
      <c r="E119">
        <v>4</v>
      </c>
      <c r="J119">
        <f t="shared" si="5"/>
        <v>30</v>
      </c>
      <c r="K119">
        <f t="shared" si="6"/>
        <v>20</v>
      </c>
      <c r="L119">
        <f t="shared" si="7"/>
        <v>15</v>
      </c>
      <c r="M119">
        <f t="shared" si="8"/>
        <v>12</v>
      </c>
      <c r="N119">
        <f t="shared" si="9"/>
        <v>10</v>
      </c>
    </row>
    <row r="120" spans="1:14" x14ac:dyDescent="0.3">
      <c r="A120" t="s">
        <v>275</v>
      </c>
      <c r="B120" t="b">
        <v>1</v>
      </c>
      <c r="C120">
        <v>60</v>
      </c>
      <c r="D120">
        <v>120</v>
      </c>
      <c r="E120">
        <v>4</v>
      </c>
      <c r="F120">
        <v>10</v>
      </c>
      <c r="G120">
        <v>12</v>
      </c>
      <c r="H120">
        <v>20</v>
      </c>
      <c r="J120">
        <f t="shared" si="5"/>
        <v>30</v>
      </c>
      <c r="K120">
        <f t="shared" si="6"/>
        <v>20</v>
      </c>
      <c r="L120">
        <f t="shared" si="7"/>
        <v>15</v>
      </c>
      <c r="M120">
        <f t="shared" si="8"/>
        <v>12</v>
      </c>
      <c r="N120">
        <f t="shared" si="9"/>
        <v>10</v>
      </c>
    </row>
    <row r="121" spans="1:14" x14ac:dyDescent="0.3">
      <c r="A121" t="s">
        <v>303</v>
      </c>
      <c r="B121" t="b">
        <v>0</v>
      </c>
      <c r="C121">
        <v>60</v>
      </c>
      <c r="D121">
        <v>120</v>
      </c>
      <c r="E121">
        <v>4</v>
      </c>
      <c r="J121">
        <f t="shared" si="5"/>
        <v>30</v>
      </c>
      <c r="K121">
        <f t="shared" si="6"/>
        <v>20</v>
      </c>
      <c r="L121">
        <f t="shared" si="7"/>
        <v>15</v>
      </c>
      <c r="M121">
        <f t="shared" si="8"/>
        <v>12</v>
      </c>
      <c r="N121">
        <f t="shared" si="9"/>
        <v>10</v>
      </c>
    </row>
    <row r="122" spans="1:14" hidden="1" x14ac:dyDescent="0.3">
      <c r="A122" t="s">
        <v>300</v>
      </c>
      <c r="B122" t="b">
        <v>0</v>
      </c>
      <c r="C122">
        <v>75</v>
      </c>
      <c r="D122">
        <v>135</v>
      </c>
      <c r="E122" t="s">
        <v>328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  <c r="N122">
        <f t="shared" si="9"/>
        <v>0</v>
      </c>
    </row>
    <row r="123" spans="1:14" hidden="1" x14ac:dyDescent="0.3">
      <c r="A123" t="s">
        <v>280</v>
      </c>
      <c r="B123" t="b">
        <v>0</v>
      </c>
      <c r="C123">
        <v>60</v>
      </c>
      <c r="D123">
        <v>150</v>
      </c>
      <c r="E123">
        <v>5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  <c r="N123">
        <f t="shared" si="9"/>
        <v>0</v>
      </c>
    </row>
    <row r="124" spans="1:14" hidden="1" x14ac:dyDescent="0.3">
      <c r="A124" t="s">
        <v>309</v>
      </c>
      <c r="B124" t="b">
        <v>0</v>
      </c>
      <c r="C124">
        <v>120</v>
      </c>
      <c r="D124">
        <v>180</v>
      </c>
      <c r="E124">
        <v>3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  <c r="N124">
        <f t="shared" si="9"/>
        <v>0</v>
      </c>
    </row>
  </sheetData>
  <autoFilter ref="A1:H124" xr:uid="{CAB613E5-AB2B-4180-8A79-D3EADA588991}">
    <filterColumn colId="4">
      <filters>
        <filter val="4"/>
      </filters>
    </filterColumn>
    <sortState xmlns:xlrd2="http://schemas.microsoft.com/office/spreadsheetml/2017/richdata2" ref="A2:H124">
      <sortCondition ref="D1:D124"/>
    </sortState>
  </autoFilter>
  <conditionalFormatting sqref="J3:N124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BFCD-D42D-412B-8E25-A762E06CBF2F}">
  <sheetPr filterMode="1"/>
  <dimension ref="A1:H124"/>
  <sheetViews>
    <sheetView workbookViewId="0">
      <selection activeCell="A38" sqref="A38:XFD38"/>
    </sheetView>
  </sheetViews>
  <sheetFormatPr defaultRowHeight="14.4" x14ac:dyDescent="0.3"/>
  <cols>
    <col min="1" max="1" width="46" bestFit="1" customWidth="1"/>
    <col min="2" max="2" width="5.77734375" bestFit="1" customWidth="1"/>
    <col min="3" max="3" width="9.33203125" bestFit="1" customWidth="1"/>
    <col min="4" max="4" width="7.6640625" bestFit="1" customWidth="1"/>
    <col min="5" max="5" width="11.109375" bestFit="1" customWidth="1"/>
    <col min="6" max="6" width="10.44140625" bestFit="1" customWidth="1"/>
    <col min="7" max="7" width="13.6640625" bestFit="1" customWidth="1"/>
    <col min="8" max="8" width="42.109375" bestFit="1" customWidth="1"/>
  </cols>
  <sheetData>
    <row r="1" spans="1:8" x14ac:dyDescent="0.3">
      <c r="A1" t="s">
        <v>161</v>
      </c>
      <c r="B1" t="s">
        <v>313</v>
      </c>
      <c r="C1" t="s">
        <v>162</v>
      </c>
      <c r="D1" t="s">
        <v>163</v>
      </c>
      <c r="E1" t="s">
        <v>314</v>
      </c>
      <c r="F1" t="s">
        <v>315</v>
      </c>
      <c r="G1" t="s">
        <v>316</v>
      </c>
      <c r="H1" t="s">
        <v>171</v>
      </c>
    </row>
    <row r="2" spans="1:8" x14ac:dyDescent="0.3">
      <c r="A2" t="s">
        <v>318</v>
      </c>
      <c r="B2" t="b">
        <v>1</v>
      </c>
      <c r="C2">
        <v>4</v>
      </c>
      <c r="D2">
        <v>4</v>
      </c>
      <c r="E2">
        <v>4</v>
      </c>
      <c r="F2">
        <v>1</v>
      </c>
      <c r="G2">
        <v>2</v>
      </c>
    </row>
    <row r="3" spans="1:8" hidden="1" x14ac:dyDescent="0.3">
      <c r="A3" t="s">
        <v>291</v>
      </c>
      <c r="B3" t="b">
        <v>0</v>
      </c>
      <c r="C3">
        <v>4</v>
      </c>
      <c r="D3">
        <v>6</v>
      </c>
      <c r="H3" t="s">
        <v>317</v>
      </c>
    </row>
    <row r="4" spans="1:8" hidden="1" x14ac:dyDescent="0.3">
      <c r="A4" t="s">
        <v>290</v>
      </c>
      <c r="B4" t="b">
        <v>0</v>
      </c>
      <c r="C4">
        <v>5</v>
      </c>
      <c r="D4">
        <v>8</v>
      </c>
      <c r="H4" t="s">
        <v>317</v>
      </c>
    </row>
    <row r="5" spans="1:8" hidden="1" x14ac:dyDescent="0.3">
      <c r="A5" t="s">
        <v>292</v>
      </c>
      <c r="B5" t="b">
        <v>0</v>
      </c>
      <c r="C5">
        <v>5</v>
      </c>
      <c r="D5">
        <v>9</v>
      </c>
      <c r="H5" t="s">
        <v>317</v>
      </c>
    </row>
    <row r="6" spans="1:8" hidden="1" x14ac:dyDescent="0.3">
      <c r="A6" t="s">
        <v>296</v>
      </c>
      <c r="B6" t="b">
        <v>0</v>
      </c>
      <c r="C6">
        <v>6</v>
      </c>
      <c r="D6">
        <v>9</v>
      </c>
      <c r="H6" t="s">
        <v>317</v>
      </c>
    </row>
    <row r="7" spans="1:8" hidden="1" x14ac:dyDescent="0.3">
      <c r="A7" t="s">
        <v>273</v>
      </c>
      <c r="B7" t="b">
        <v>0</v>
      </c>
      <c r="C7">
        <v>6</v>
      </c>
      <c r="D7">
        <v>10</v>
      </c>
      <c r="H7" t="s">
        <v>317</v>
      </c>
    </row>
    <row r="8" spans="1:8" hidden="1" x14ac:dyDescent="0.3">
      <c r="A8" t="s">
        <v>187</v>
      </c>
      <c r="B8" t="b">
        <v>0</v>
      </c>
      <c r="C8">
        <v>8</v>
      </c>
      <c r="D8">
        <v>12</v>
      </c>
      <c r="H8" t="s">
        <v>317</v>
      </c>
    </row>
    <row r="9" spans="1:8" hidden="1" x14ac:dyDescent="0.3">
      <c r="A9" t="s">
        <v>222</v>
      </c>
      <c r="B9" t="b">
        <v>0</v>
      </c>
      <c r="C9">
        <v>7</v>
      </c>
      <c r="D9">
        <v>12</v>
      </c>
      <c r="H9" t="s">
        <v>317</v>
      </c>
    </row>
    <row r="10" spans="1:8" x14ac:dyDescent="0.3">
      <c r="A10" t="s">
        <v>255</v>
      </c>
      <c r="B10" t="b">
        <v>1</v>
      </c>
      <c r="C10">
        <v>6</v>
      </c>
      <c r="D10">
        <v>12</v>
      </c>
      <c r="E10">
        <v>4</v>
      </c>
      <c r="F10">
        <v>3</v>
      </c>
      <c r="G10">
        <v>4</v>
      </c>
    </row>
    <row r="11" spans="1:8" hidden="1" x14ac:dyDescent="0.3">
      <c r="A11" t="s">
        <v>177</v>
      </c>
      <c r="B11" t="b">
        <v>0</v>
      </c>
      <c r="C11">
        <v>7</v>
      </c>
      <c r="D11">
        <v>13</v>
      </c>
      <c r="H11" t="s">
        <v>317</v>
      </c>
    </row>
    <row r="12" spans="1:8" hidden="1" x14ac:dyDescent="0.3">
      <c r="A12" t="s">
        <v>226</v>
      </c>
      <c r="B12" t="b">
        <v>0</v>
      </c>
      <c r="C12">
        <v>8</v>
      </c>
      <c r="D12">
        <v>14</v>
      </c>
      <c r="H12" t="s">
        <v>317</v>
      </c>
    </row>
    <row r="13" spans="1:8" hidden="1" x14ac:dyDescent="0.3">
      <c r="A13" t="s">
        <v>216</v>
      </c>
      <c r="B13" t="b">
        <v>0</v>
      </c>
      <c r="C13">
        <v>8</v>
      </c>
      <c r="D13">
        <v>15</v>
      </c>
      <c r="H13" t="s">
        <v>317</v>
      </c>
    </row>
    <row r="14" spans="1:8" hidden="1" x14ac:dyDescent="0.3">
      <c r="A14" t="s">
        <v>265</v>
      </c>
      <c r="B14" t="b">
        <v>0</v>
      </c>
      <c r="C14">
        <v>7</v>
      </c>
      <c r="D14">
        <v>15</v>
      </c>
      <c r="H14" t="s">
        <v>317</v>
      </c>
    </row>
    <row r="15" spans="1:8" hidden="1" x14ac:dyDescent="0.3">
      <c r="A15" t="s">
        <v>272</v>
      </c>
      <c r="B15" t="b">
        <v>0</v>
      </c>
      <c r="C15">
        <v>10</v>
      </c>
      <c r="D15">
        <v>15</v>
      </c>
      <c r="H15" t="s">
        <v>317</v>
      </c>
    </row>
    <row r="16" spans="1:8" hidden="1" x14ac:dyDescent="0.3">
      <c r="A16" t="s">
        <v>293</v>
      </c>
      <c r="B16" t="b">
        <v>0</v>
      </c>
      <c r="C16">
        <v>9</v>
      </c>
      <c r="D16">
        <v>15</v>
      </c>
      <c r="H16" t="s">
        <v>317</v>
      </c>
    </row>
    <row r="17" spans="1:8" hidden="1" x14ac:dyDescent="0.3">
      <c r="A17" t="s">
        <v>301</v>
      </c>
      <c r="B17" t="b">
        <v>0</v>
      </c>
      <c r="C17">
        <v>9</v>
      </c>
      <c r="D17">
        <v>15</v>
      </c>
      <c r="H17" t="s">
        <v>317</v>
      </c>
    </row>
    <row r="18" spans="1:8" hidden="1" x14ac:dyDescent="0.3">
      <c r="A18" t="s">
        <v>215</v>
      </c>
      <c r="B18" t="b">
        <v>0</v>
      </c>
      <c r="C18">
        <v>9</v>
      </c>
      <c r="D18">
        <v>16</v>
      </c>
      <c r="H18" t="s">
        <v>317</v>
      </c>
    </row>
    <row r="19" spans="1:8" hidden="1" x14ac:dyDescent="0.3">
      <c r="A19" t="s">
        <v>284</v>
      </c>
      <c r="B19" t="b">
        <v>0</v>
      </c>
      <c r="C19">
        <v>8</v>
      </c>
      <c r="D19">
        <v>16</v>
      </c>
      <c r="H19" t="s">
        <v>317</v>
      </c>
    </row>
    <row r="20" spans="1:8" x14ac:dyDescent="0.3">
      <c r="A20" t="s">
        <v>319</v>
      </c>
      <c r="B20" t="b">
        <v>1</v>
      </c>
      <c r="C20">
        <v>10</v>
      </c>
      <c r="D20">
        <v>16</v>
      </c>
      <c r="E20">
        <v>4</v>
      </c>
      <c r="F20">
        <v>4</v>
      </c>
      <c r="G20">
        <v>4</v>
      </c>
    </row>
    <row r="21" spans="1:8" x14ac:dyDescent="0.3">
      <c r="A21" t="s">
        <v>320</v>
      </c>
      <c r="B21" t="b">
        <v>1</v>
      </c>
      <c r="C21">
        <v>10</v>
      </c>
      <c r="D21">
        <v>16</v>
      </c>
      <c r="E21">
        <v>4</v>
      </c>
      <c r="F21">
        <v>4</v>
      </c>
      <c r="G21">
        <v>4</v>
      </c>
    </row>
    <row r="22" spans="1:8" hidden="1" x14ac:dyDescent="0.3">
      <c r="A22" t="s">
        <v>183</v>
      </c>
      <c r="B22" t="b">
        <v>0</v>
      </c>
      <c r="C22">
        <v>8</v>
      </c>
      <c r="D22">
        <v>17</v>
      </c>
      <c r="H22" t="s">
        <v>317</v>
      </c>
    </row>
    <row r="23" spans="1:8" hidden="1" x14ac:dyDescent="0.3">
      <c r="A23" t="s">
        <v>178</v>
      </c>
      <c r="B23" t="b">
        <v>0</v>
      </c>
      <c r="C23">
        <v>10</v>
      </c>
      <c r="D23">
        <v>18</v>
      </c>
      <c r="H23" t="s">
        <v>317</v>
      </c>
    </row>
    <row r="24" spans="1:8" hidden="1" x14ac:dyDescent="0.3">
      <c r="A24" t="s">
        <v>242</v>
      </c>
      <c r="B24" t="b">
        <v>0</v>
      </c>
      <c r="C24">
        <v>12</v>
      </c>
      <c r="D24">
        <v>18</v>
      </c>
      <c r="H24" t="s">
        <v>317</v>
      </c>
    </row>
    <row r="25" spans="1:8" hidden="1" x14ac:dyDescent="0.3">
      <c r="A25" t="s">
        <v>279</v>
      </c>
      <c r="B25" t="b">
        <v>0</v>
      </c>
      <c r="C25">
        <v>8</v>
      </c>
      <c r="D25">
        <v>18</v>
      </c>
      <c r="H25" t="s">
        <v>317</v>
      </c>
    </row>
    <row r="26" spans="1:8" hidden="1" x14ac:dyDescent="0.3">
      <c r="A26" t="s">
        <v>311</v>
      </c>
      <c r="B26" t="b">
        <v>0</v>
      </c>
      <c r="C26">
        <v>12</v>
      </c>
      <c r="D26">
        <v>18</v>
      </c>
      <c r="H26" t="s">
        <v>317</v>
      </c>
    </row>
    <row r="27" spans="1:8" hidden="1" x14ac:dyDescent="0.3">
      <c r="A27" t="s">
        <v>175</v>
      </c>
      <c r="B27" t="b">
        <v>0</v>
      </c>
      <c r="C27">
        <v>11</v>
      </c>
      <c r="D27">
        <v>19</v>
      </c>
      <c r="H27" t="s">
        <v>317</v>
      </c>
    </row>
    <row r="28" spans="1:8" hidden="1" x14ac:dyDescent="0.3">
      <c r="A28" t="s">
        <v>208</v>
      </c>
      <c r="B28" t="b">
        <v>0</v>
      </c>
      <c r="C28">
        <v>11</v>
      </c>
      <c r="D28">
        <v>20</v>
      </c>
      <c r="H28" t="s">
        <v>317</v>
      </c>
    </row>
    <row r="29" spans="1:8" hidden="1" x14ac:dyDescent="0.3">
      <c r="A29" t="s">
        <v>210</v>
      </c>
      <c r="B29" t="b">
        <v>0</v>
      </c>
      <c r="C29">
        <v>10</v>
      </c>
      <c r="D29">
        <v>20</v>
      </c>
      <c r="H29" t="s">
        <v>317</v>
      </c>
    </row>
    <row r="30" spans="1:8" hidden="1" x14ac:dyDescent="0.3">
      <c r="A30" t="s">
        <v>236</v>
      </c>
      <c r="B30" t="b">
        <v>0</v>
      </c>
      <c r="C30">
        <v>9</v>
      </c>
      <c r="D30">
        <v>20</v>
      </c>
      <c r="H30" t="s">
        <v>317</v>
      </c>
    </row>
    <row r="31" spans="1:8" hidden="1" x14ac:dyDescent="0.3">
      <c r="A31" t="s">
        <v>248</v>
      </c>
      <c r="B31" t="b">
        <v>0</v>
      </c>
      <c r="C31">
        <v>10</v>
      </c>
      <c r="D31">
        <v>20</v>
      </c>
      <c r="H31" t="s">
        <v>317</v>
      </c>
    </row>
    <row r="32" spans="1:8" hidden="1" x14ac:dyDescent="0.3">
      <c r="A32" t="s">
        <v>264</v>
      </c>
      <c r="B32" t="b">
        <v>0</v>
      </c>
      <c r="C32">
        <v>10</v>
      </c>
      <c r="D32">
        <v>20</v>
      </c>
      <c r="H32" t="s">
        <v>317</v>
      </c>
    </row>
    <row r="33" spans="1:8" hidden="1" x14ac:dyDescent="0.3">
      <c r="A33" t="s">
        <v>286</v>
      </c>
      <c r="B33" t="b">
        <v>0</v>
      </c>
      <c r="C33">
        <v>12</v>
      </c>
      <c r="D33">
        <v>20</v>
      </c>
      <c r="H33" t="s">
        <v>317</v>
      </c>
    </row>
    <row r="34" spans="1:8" hidden="1" x14ac:dyDescent="0.3">
      <c r="A34" t="s">
        <v>299</v>
      </c>
      <c r="B34" t="b">
        <v>0</v>
      </c>
      <c r="C34">
        <v>9</v>
      </c>
      <c r="D34">
        <v>21</v>
      </c>
      <c r="H34" t="s">
        <v>317</v>
      </c>
    </row>
    <row r="35" spans="1:8" hidden="1" x14ac:dyDescent="0.3">
      <c r="A35" t="s">
        <v>174</v>
      </c>
      <c r="B35" t="b">
        <v>0</v>
      </c>
      <c r="C35">
        <v>13</v>
      </c>
      <c r="D35">
        <v>22</v>
      </c>
      <c r="H35" t="s">
        <v>317</v>
      </c>
    </row>
    <row r="36" spans="1:8" hidden="1" x14ac:dyDescent="0.3">
      <c r="A36" t="s">
        <v>282</v>
      </c>
      <c r="B36" t="b">
        <v>0</v>
      </c>
      <c r="C36">
        <v>10</v>
      </c>
      <c r="D36">
        <v>22</v>
      </c>
      <c r="H36" t="s">
        <v>317</v>
      </c>
    </row>
    <row r="37" spans="1:8" hidden="1" x14ac:dyDescent="0.3">
      <c r="A37" t="s">
        <v>182</v>
      </c>
      <c r="B37" t="b">
        <v>0</v>
      </c>
      <c r="C37">
        <v>12</v>
      </c>
      <c r="D37">
        <v>23</v>
      </c>
      <c r="H37" t="s">
        <v>317</v>
      </c>
    </row>
    <row r="38" spans="1:8" x14ac:dyDescent="0.3">
      <c r="A38" t="s">
        <v>188</v>
      </c>
      <c r="B38" t="b">
        <v>1</v>
      </c>
      <c r="C38">
        <v>12</v>
      </c>
      <c r="D38">
        <v>24</v>
      </c>
      <c r="E38">
        <v>6</v>
      </c>
      <c r="F38">
        <v>4</v>
      </c>
      <c r="G38">
        <v>4</v>
      </c>
    </row>
    <row r="39" spans="1:8" hidden="1" x14ac:dyDescent="0.3">
      <c r="A39" t="s">
        <v>234</v>
      </c>
      <c r="B39" t="b">
        <v>0</v>
      </c>
      <c r="C39">
        <v>10</v>
      </c>
      <c r="D39">
        <v>24</v>
      </c>
      <c r="H39" t="s">
        <v>317</v>
      </c>
    </row>
    <row r="40" spans="1:8" hidden="1" x14ac:dyDescent="0.3">
      <c r="A40" t="s">
        <v>240</v>
      </c>
      <c r="B40" t="b">
        <v>0</v>
      </c>
      <c r="C40">
        <v>12</v>
      </c>
      <c r="D40">
        <v>24</v>
      </c>
      <c r="H40" t="s">
        <v>317</v>
      </c>
    </row>
    <row r="41" spans="1:8" hidden="1" x14ac:dyDescent="0.3">
      <c r="A41" t="s">
        <v>254</v>
      </c>
      <c r="B41" t="b">
        <v>0</v>
      </c>
      <c r="C41">
        <v>16</v>
      </c>
      <c r="D41">
        <v>24</v>
      </c>
      <c r="H41" t="s">
        <v>317</v>
      </c>
    </row>
    <row r="42" spans="1:8" x14ac:dyDescent="0.3">
      <c r="A42" t="s">
        <v>295</v>
      </c>
      <c r="B42" t="b">
        <v>1</v>
      </c>
      <c r="C42">
        <v>12</v>
      </c>
      <c r="D42">
        <v>24</v>
      </c>
      <c r="E42">
        <v>6</v>
      </c>
      <c r="F42">
        <v>4</v>
      </c>
      <c r="G42">
        <v>5</v>
      </c>
    </row>
    <row r="43" spans="1:8" hidden="1" x14ac:dyDescent="0.3">
      <c r="A43" t="s">
        <v>196</v>
      </c>
      <c r="B43" t="b">
        <v>0</v>
      </c>
      <c r="C43">
        <v>12</v>
      </c>
      <c r="D43">
        <v>25</v>
      </c>
      <c r="H43" t="s">
        <v>317</v>
      </c>
    </row>
    <row r="44" spans="1:8" hidden="1" x14ac:dyDescent="0.3">
      <c r="A44" t="s">
        <v>231</v>
      </c>
      <c r="B44" t="b">
        <v>0</v>
      </c>
      <c r="C44">
        <v>11</v>
      </c>
      <c r="D44">
        <v>25</v>
      </c>
      <c r="H44" t="s">
        <v>317</v>
      </c>
    </row>
    <row r="45" spans="1:8" hidden="1" x14ac:dyDescent="0.3">
      <c r="A45" t="s">
        <v>266</v>
      </c>
      <c r="B45" t="b">
        <v>0</v>
      </c>
      <c r="C45">
        <v>15</v>
      </c>
      <c r="D45">
        <v>25</v>
      </c>
      <c r="H45" t="s">
        <v>317</v>
      </c>
    </row>
    <row r="46" spans="1:8" hidden="1" x14ac:dyDescent="0.3">
      <c r="A46" t="s">
        <v>176</v>
      </c>
      <c r="B46" t="b">
        <v>0</v>
      </c>
      <c r="C46">
        <v>11</v>
      </c>
      <c r="D46">
        <v>26</v>
      </c>
      <c r="H46" t="s">
        <v>317</v>
      </c>
    </row>
    <row r="47" spans="1:8" hidden="1" x14ac:dyDescent="0.3">
      <c r="A47" t="s">
        <v>186</v>
      </c>
      <c r="B47" t="b">
        <v>0</v>
      </c>
      <c r="C47">
        <v>14</v>
      </c>
      <c r="D47">
        <v>26</v>
      </c>
      <c r="H47" t="s">
        <v>317</v>
      </c>
    </row>
    <row r="48" spans="1:8" hidden="1" x14ac:dyDescent="0.3">
      <c r="A48" t="s">
        <v>246</v>
      </c>
      <c r="B48" t="b">
        <v>0</v>
      </c>
      <c r="C48">
        <v>14</v>
      </c>
      <c r="D48">
        <v>26</v>
      </c>
      <c r="H48" t="s">
        <v>317</v>
      </c>
    </row>
    <row r="49" spans="1:8" hidden="1" x14ac:dyDescent="0.3">
      <c r="A49" t="s">
        <v>258</v>
      </c>
      <c r="B49" t="b">
        <v>0</v>
      </c>
      <c r="C49">
        <v>14</v>
      </c>
      <c r="D49">
        <v>26</v>
      </c>
      <c r="H49" t="s">
        <v>317</v>
      </c>
    </row>
    <row r="50" spans="1:8" hidden="1" x14ac:dyDescent="0.3">
      <c r="A50" t="s">
        <v>181</v>
      </c>
      <c r="B50" t="b">
        <v>0</v>
      </c>
      <c r="C50">
        <v>15</v>
      </c>
      <c r="D50">
        <v>27</v>
      </c>
      <c r="H50" t="s">
        <v>317</v>
      </c>
    </row>
    <row r="51" spans="1:8" hidden="1" x14ac:dyDescent="0.3">
      <c r="A51" t="s">
        <v>217</v>
      </c>
      <c r="B51" t="b">
        <v>0</v>
      </c>
      <c r="C51">
        <v>15</v>
      </c>
      <c r="D51">
        <v>27</v>
      </c>
      <c r="H51" t="s">
        <v>317</v>
      </c>
    </row>
    <row r="52" spans="1:8" hidden="1" x14ac:dyDescent="0.3">
      <c r="A52" t="s">
        <v>283</v>
      </c>
      <c r="B52" t="b">
        <v>0</v>
      </c>
      <c r="C52">
        <v>12</v>
      </c>
      <c r="D52">
        <v>28</v>
      </c>
      <c r="H52" t="s">
        <v>317</v>
      </c>
    </row>
    <row r="53" spans="1:8" hidden="1" x14ac:dyDescent="0.3">
      <c r="A53" t="s">
        <v>192</v>
      </c>
      <c r="B53" t="b">
        <v>0</v>
      </c>
      <c r="C53">
        <v>20</v>
      </c>
      <c r="D53">
        <v>30</v>
      </c>
      <c r="H53" t="s">
        <v>317</v>
      </c>
    </row>
    <row r="54" spans="1:8" hidden="1" x14ac:dyDescent="0.3">
      <c r="A54" t="s">
        <v>195</v>
      </c>
      <c r="B54" t="b">
        <v>0</v>
      </c>
      <c r="C54">
        <v>20</v>
      </c>
      <c r="D54">
        <v>30</v>
      </c>
      <c r="H54" t="s">
        <v>317</v>
      </c>
    </row>
    <row r="55" spans="1:8" hidden="1" x14ac:dyDescent="0.3">
      <c r="A55" t="s">
        <v>243</v>
      </c>
      <c r="B55" t="b">
        <v>0</v>
      </c>
      <c r="C55">
        <v>12</v>
      </c>
      <c r="D55">
        <v>30</v>
      </c>
      <c r="H55" t="s">
        <v>317</v>
      </c>
    </row>
    <row r="56" spans="1:8" hidden="1" x14ac:dyDescent="0.3">
      <c r="A56" t="s">
        <v>298</v>
      </c>
      <c r="B56" t="b">
        <v>0</v>
      </c>
      <c r="C56">
        <v>15</v>
      </c>
      <c r="D56">
        <v>30</v>
      </c>
      <c r="H56" t="s">
        <v>317</v>
      </c>
    </row>
    <row r="57" spans="1:8" hidden="1" x14ac:dyDescent="0.3">
      <c r="A57" t="s">
        <v>253</v>
      </c>
      <c r="B57" t="b">
        <v>0</v>
      </c>
      <c r="C57">
        <v>16</v>
      </c>
      <c r="D57">
        <v>32</v>
      </c>
      <c r="H57" t="s">
        <v>317</v>
      </c>
    </row>
    <row r="58" spans="1:8" x14ac:dyDescent="0.3">
      <c r="A58" t="s">
        <v>287</v>
      </c>
      <c r="B58" t="b">
        <v>1</v>
      </c>
      <c r="C58">
        <v>16</v>
      </c>
      <c r="D58">
        <v>32</v>
      </c>
      <c r="E58">
        <v>4</v>
      </c>
      <c r="F58">
        <v>8</v>
      </c>
      <c r="G58">
        <v>10</v>
      </c>
    </row>
    <row r="59" spans="1:8" hidden="1" x14ac:dyDescent="0.3">
      <c r="A59" t="s">
        <v>289</v>
      </c>
      <c r="B59" t="b">
        <v>0</v>
      </c>
      <c r="C59">
        <v>16</v>
      </c>
      <c r="D59">
        <v>32</v>
      </c>
      <c r="H59" t="s">
        <v>317</v>
      </c>
    </row>
    <row r="60" spans="1:8" hidden="1" x14ac:dyDescent="0.3">
      <c r="A60" t="s">
        <v>238</v>
      </c>
      <c r="B60" t="b">
        <v>0</v>
      </c>
      <c r="C60">
        <v>15</v>
      </c>
      <c r="D60">
        <v>33</v>
      </c>
      <c r="H60" t="s">
        <v>317</v>
      </c>
    </row>
    <row r="61" spans="1:8" hidden="1" x14ac:dyDescent="0.3">
      <c r="A61" t="s">
        <v>239</v>
      </c>
      <c r="B61" t="b">
        <v>0</v>
      </c>
      <c r="C61">
        <v>14</v>
      </c>
      <c r="D61">
        <v>33</v>
      </c>
      <c r="H61" t="s">
        <v>317</v>
      </c>
    </row>
    <row r="62" spans="1:8" hidden="1" x14ac:dyDescent="0.3">
      <c r="A62" t="s">
        <v>172</v>
      </c>
      <c r="B62" t="b">
        <v>0</v>
      </c>
      <c r="C62">
        <v>21</v>
      </c>
      <c r="D62">
        <v>35</v>
      </c>
      <c r="H62" t="s">
        <v>317</v>
      </c>
    </row>
    <row r="63" spans="1:8" hidden="1" x14ac:dyDescent="0.3">
      <c r="A63" t="s">
        <v>274</v>
      </c>
      <c r="B63" t="b">
        <v>0</v>
      </c>
      <c r="C63">
        <v>20</v>
      </c>
      <c r="D63">
        <v>35</v>
      </c>
      <c r="H63" t="s">
        <v>317</v>
      </c>
    </row>
    <row r="64" spans="1:8" hidden="1" x14ac:dyDescent="0.3">
      <c r="A64" t="s">
        <v>212</v>
      </c>
      <c r="B64" t="b">
        <v>0</v>
      </c>
      <c r="C64">
        <v>20</v>
      </c>
      <c r="D64">
        <v>36</v>
      </c>
      <c r="H64" t="s">
        <v>317</v>
      </c>
    </row>
    <row r="65" spans="1:8" hidden="1" x14ac:dyDescent="0.3">
      <c r="A65" t="s">
        <v>218</v>
      </c>
      <c r="B65" t="b">
        <v>0</v>
      </c>
      <c r="C65">
        <v>18</v>
      </c>
      <c r="D65">
        <v>36</v>
      </c>
      <c r="H65" t="s">
        <v>317</v>
      </c>
    </row>
    <row r="66" spans="1:8" x14ac:dyDescent="0.3">
      <c r="A66" t="s">
        <v>220</v>
      </c>
      <c r="B66" t="b">
        <v>1</v>
      </c>
      <c r="C66">
        <v>18</v>
      </c>
      <c r="D66">
        <v>36</v>
      </c>
      <c r="E66">
        <v>4</v>
      </c>
      <c r="F66">
        <v>9</v>
      </c>
      <c r="G66">
        <v>12</v>
      </c>
    </row>
    <row r="67" spans="1:8" hidden="1" x14ac:dyDescent="0.3">
      <c r="A67" t="s">
        <v>294</v>
      </c>
      <c r="B67" t="b">
        <v>0</v>
      </c>
      <c r="C67">
        <v>18</v>
      </c>
      <c r="D67">
        <v>36</v>
      </c>
      <c r="H67" t="s">
        <v>317</v>
      </c>
    </row>
    <row r="68" spans="1:8" hidden="1" x14ac:dyDescent="0.3">
      <c r="A68" t="s">
        <v>305</v>
      </c>
      <c r="B68" t="b">
        <v>0</v>
      </c>
      <c r="C68">
        <v>24</v>
      </c>
      <c r="D68">
        <v>36</v>
      </c>
      <c r="H68" t="s">
        <v>317</v>
      </c>
    </row>
    <row r="69" spans="1:8" hidden="1" x14ac:dyDescent="0.3">
      <c r="A69" t="s">
        <v>310</v>
      </c>
      <c r="B69" t="b">
        <v>0</v>
      </c>
      <c r="C69">
        <v>24</v>
      </c>
      <c r="D69">
        <v>36</v>
      </c>
      <c r="H69" t="s">
        <v>317</v>
      </c>
    </row>
    <row r="70" spans="1:8" hidden="1" x14ac:dyDescent="0.3">
      <c r="A70" t="s">
        <v>194</v>
      </c>
      <c r="B70" t="b">
        <v>0</v>
      </c>
      <c r="C70">
        <v>16</v>
      </c>
      <c r="D70">
        <v>38</v>
      </c>
      <c r="H70" t="s">
        <v>317</v>
      </c>
    </row>
    <row r="71" spans="1:8" hidden="1" x14ac:dyDescent="0.3">
      <c r="A71" t="s">
        <v>190</v>
      </c>
      <c r="B71" t="b">
        <v>0</v>
      </c>
      <c r="C71">
        <v>20</v>
      </c>
      <c r="D71">
        <v>40</v>
      </c>
      <c r="H71" t="s">
        <v>317</v>
      </c>
    </row>
    <row r="72" spans="1:8" hidden="1" x14ac:dyDescent="0.3">
      <c r="A72" t="s">
        <v>245</v>
      </c>
      <c r="B72" t="b">
        <v>0</v>
      </c>
      <c r="C72">
        <v>22</v>
      </c>
      <c r="D72">
        <v>40</v>
      </c>
      <c r="H72" t="s">
        <v>317</v>
      </c>
    </row>
    <row r="73" spans="1:8" hidden="1" x14ac:dyDescent="0.3">
      <c r="A73" t="s">
        <v>257</v>
      </c>
      <c r="B73" t="b">
        <v>0</v>
      </c>
      <c r="C73">
        <v>22</v>
      </c>
      <c r="D73">
        <v>40</v>
      </c>
      <c r="H73" t="s">
        <v>317</v>
      </c>
    </row>
    <row r="74" spans="1:8" x14ac:dyDescent="0.3">
      <c r="A74" t="s">
        <v>267</v>
      </c>
      <c r="B74" t="b">
        <v>1</v>
      </c>
      <c r="C74">
        <v>20</v>
      </c>
      <c r="D74">
        <v>40</v>
      </c>
      <c r="E74">
        <v>4</v>
      </c>
      <c r="F74">
        <v>10</v>
      </c>
      <c r="G74">
        <v>13</v>
      </c>
    </row>
    <row r="75" spans="1:8" hidden="1" x14ac:dyDescent="0.3">
      <c r="A75" t="s">
        <v>269</v>
      </c>
      <c r="B75" t="b">
        <v>0</v>
      </c>
      <c r="C75">
        <v>20</v>
      </c>
      <c r="D75">
        <v>40</v>
      </c>
      <c r="H75" t="s">
        <v>317</v>
      </c>
    </row>
    <row r="76" spans="1:8" hidden="1" x14ac:dyDescent="0.3">
      <c r="A76" t="s">
        <v>281</v>
      </c>
      <c r="B76" t="b">
        <v>0</v>
      </c>
      <c r="C76">
        <v>16</v>
      </c>
      <c r="D76">
        <v>40</v>
      </c>
      <c r="H76" t="s">
        <v>317</v>
      </c>
    </row>
    <row r="77" spans="1:8" hidden="1" x14ac:dyDescent="0.3">
      <c r="A77" t="s">
        <v>237</v>
      </c>
      <c r="B77" t="b">
        <v>0</v>
      </c>
      <c r="C77">
        <v>18</v>
      </c>
      <c r="D77">
        <v>42</v>
      </c>
      <c r="H77" t="s">
        <v>317</v>
      </c>
    </row>
    <row r="78" spans="1:8" hidden="1" x14ac:dyDescent="0.3">
      <c r="A78" t="s">
        <v>235</v>
      </c>
      <c r="B78" t="b">
        <v>0</v>
      </c>
      <c r="C78">
        <v>20</v>
      </c>
      <c r="D78">
        <v>44</v>
      </c>
      <c r="H78" t="s">
        <v>317</v>
      </c>
    </row>
    <row r="79" spans="1:8" hidden="1" x14ac:dyDescent="0.3">
      <c r="A79" t="s">
        <v>197</v>
      </c>
      <c r="B79" t="b">
        <v>0</v>
      </c>
      <c r="C79">
        <v>25</v>
      </c>
      <c r="D79">
        <v>45</v>
      </c>
      <c r="H79" t="s">
        <v>317</v>
      </c>
    </row>
    <row r="80" spans="1:8" hidden="1" x14ac:dyDescent="0.3">
      <c r="A80" t="s">
        <v>297</v>
      </c>
      <c r="B80" t="b">
        <v>0</v>
      </c>
      <c r="C80">
        <v>23</v>
      </c>
      <c r="D80">
        <v>45</v>
      </c>
      <c r="H80" t="s">
        <v>317</v>
      </c>
    </row>
    <row r="81" spans="1:8" hidden="1" x14ac:dyDescent="0.3">
      <c r="A81" t="s">
        <v>179</v>
      </c>
      <c r="B81" t="b">
        <v>0</v>
      </c>
      <c r="C81">
        <v>28</v>
      </c>
      <c r="D81">
        <v>48</v>
      </c>
      <c r="H81" t="s">
        <v>317</v>
      </c>
    </row>
    <row r="82" spans="1:8" hidden="1" x14ac:dyDescent="0.3">
      <c r="A82" t="s">
        <v>213</v>
      </c>
      <c r="B82" t="b">
        <v>0</v>
      </c>
      <c r="C82">
        <v>24</v>
      </c>
      <c r="D82">
        <v>48</v>
      </c>
      <c r="H82" t="s">
        <v>317</v>
      </c>
    </row>
    <row r="83" spans="1:8" x14ac:dyDescent="0.3">
      <c r="A83" t="s">
        <v>276</v>
      </c>
      <c r="B83" t="b">
        <v>1</v>
      </c>
      <c r="C83">
        <v>24</v>
      </c>
      <c r="D83">
        <v>48</v>
      </c>
      <c r="E83">
        <v>4</v>
      </c>
      <c r="F83">
        <v>12</v>
      </c>
      <c r="G83">
        <v>16</v>
      </c>
    </row>
    <row r="84" spans="1:8" hidden="1" x14ac:dyDescent="0.3">
      <c r="A84" t="s">
        <v>268</v>
      </c>
      <c r="B84" t="b">
        <v>0</v>
      </c>
      <c r="C84">
        <v>25</v>
      </c>
      <c r="D84">
        <v>50</v>
      </c>
      <c r="H84" t="s">
        <v>317</v>
      </c>
    </row>
    <row r="85" spans="1:8" hidden="1" x14ac:dyDescent="0.3">
      <c r="A85" t="s">
        <v>271</v>
      </c>
      <c r="B85" t="b">
        <v>0</v>
      </c>
      <c r="C85">
        <v>25</v>
      </c>
      <c r="D85">
        <v>50</v>
      </c>
      <c r="H85" t="s">
        <v>317</v>
      </c>
    </row>
    <row r="86" spans="1:8" hidden="1" x14ac:dyDescent="0.3">
      <c r="A86" t="s">
        <v>209</v>
      </c>
      <c r="B86" t="b">
        <v>0</v>
      </c>
      <c r="C86">
        <v>30</v>
      </c>
      <c r="D86">
        <v>55</v>
      </c>
      <c r="H86" t="s">
        <v>317</v>
      </c>
    </row>
    <row r="87" spans="1:8" hidden="1" x14ac:dyDescent="0.3">
      <c r="A87" t="s">
        <v>229</v>
      </c>
      <c r="B87" t="b">
        <v>0</v>
      </c>
      <c r="C87">
        <v>25</v>
      </c>
      <c r="D87">
        <v>55</v>
      </c>
      <c r="H87" t="s">
        <v>317</v>
      </c>
    </row>
    <row r="88" spans="1:8" hidden="1" x14ac:dyDescent="0.3">
      <c r="A88" t="s">
        <v>233</v>
      </c>
      <c r="B88" t="b">
        <v>0</v>
      </c>
      <c r="C88">
        <v>24</v>
      </c>
      <c r="D88">
        <v>56</v>
      </c>
      <c r="H88" t="s">
        <v>317</v>
      </c>
    </row>
    <row r="89" spans="1:8" hidden="1" x14ac:dyDescent="0.3">
      <c r="A89" t="s">
        <v>184</v>
      </c>
      <c r="B89" t="b">
        <v>0</v>
      </c>
      <c r="C89">
        <v>32</v>
      </c>
      <c r="D89">
        <v>60</v>
      </c>
      <c r="H89" t="s">
        <v>317</v>
      </c>
    </row>
    <row r="90" spans="1:8" hidden="1" x14ac:dyDescent="0.3">
      <c r="A90" t="s">
        <v>198</v>
      </c>
      <c r="B90" t="b">
        <v>0</v>
      </c>
      <c r="C90">
        <v>30</v>
      </c>
      <c r="D90">
        <v>60</v>
      </c>
      <c r="H90" t="s">
        <v>317</v>
      </c>
    </row>
    <row r="91" spans="1:8" x14ac:dyDescent="0.3">
      <c r="A91" t="s">
        <v>203</v>
      </c>
      <c r="B91" t="b">
        <v>1</v>
      </c>
      <c r="C91">
        <v>30</v>
      </c>
      <c r="D91">
        <v>60</v>
      </c>
      <c r="E91">
        <v>4</v>
      </c>
      <c r="F91">
        <v>15</v>
      </c>
      <c r="G91">
        <v>20</v>
      </c>
    </row>
    <row r="92" spans="1:8" x14ac:dyDescent="0.3">
      <c r="A92" t="s">
        <v>244</v>
      </c>
      <c r="B92" t="b">
        <v>1</v>
      </c>
      <c r="C92">
        <v>30</v>
      </c>
      <c r="D92">
        <v>60</v>
      </c>
      <c r="E92">
        <v>10</v>
      </c>
      <c r="F92">
        <v>6</v>
      </c>
      <c r="G92">
        <v>6</v>
      </c>
    </row>
    <row r="93" spans="1:8" hidden="1" x14ac:dyDescent="0.3">
      <c r="A93" t="s">
        <v>270</v>
      </c>
      <c r="B93" t="b">
        <v>0</v>
      </c>
      <c r="C93">
        <v>30</v>
      </c>
      <c r="D93">
        <v>60</v>
      </c>
      <c r="H93" t="s">
        <v>317</v>
      </c>
    </row>
    <row r="94" spans="1:8" hidden="1" x14ac:dyDescent="0.3">
      <c r="A94" t="s">
        <v>278</v>
      </c>
      <c r="B94" t="b">
        <v>0</v>
      </c>
      <c r="C94">
        <v>24</v>
      </c>
      <c r="D94">
        <v>60</v>
      </c>
      <c r="H94" t="s">
        <v>317</v>
      </c>
    </row>
    <row r="95" spans="1:8" hidden="1" x14ac:dyDescent="0.3">
      <c r="A95" t="s">
        <v>232</v>
      </c>
      <c r="B95" t="b">
        <v>0</v>
      </c>
      <c r="C95">
        <v>30</v>
      </c>
      <c r="D95">
        <v>65</v>
      </c>
      <c r="H95" t="s">
        <v>317</v>
      </c>
    </row>
    <row r="96" spans="1:8" hidden="1" x14ac:dyDescent="0.3">
      <c r="A96" t="s">
        <v>202</v>
      </c>
      <c r="B96" t="b">
        <v>0</v>
      </c>
      <c r="C96">
        <v>35</v>
      </c>
      <c r="D96">
        <v>70</v>
      </c>
      <c r="H96" t="s">
        <v>317</v>
      </c>
    </row>
    <row r="97" spans="1:8" hidden="1" x14ac:dyDescent="0.3">
      <c r="A97" t="s">
        <v>207</v>
      </c>
      <c r="B97" t="b">
        <v>0</v>
      </c>
      <c r="C97">
        <v>35</v>
      </c>
      <c r="D97">
        <v>70</v>
      </c>
      <c r="H97" t="s">
        <v>317</v>
      </c>
    </row>
    <row r="98" spans="1:8" hidden="1" x14ac:dyDescent="0.3">
      <c r="A98" t="s">
        <v>227</v>
      </c>
      <c r="B98" t="b">
        <v>0</v>
      </c>
      <c r="C98">
        <v>30</v>
      </c>
      <c r="D98">
        <v>70</v>
      </c>
      <c r="H98" t="s">
        <v>317</v>
      </c>
    </row>
    <row r="99" spans="1:8" hidden="1" x14ac:dyDescent="0.3">
      <c r="A99" t="s">
        <v>306</v>
      </c>
      <c r="B99" t="b">
        <v>0</v>
      </c>
      <c r="C99">
        <v>48</v>
      </c>
      <c r="D99">
        <v>72</v>
      </c>
      <c r="H99" t="s">
        <v>317</v>
      </c>
    </row>
    <row r="100" spans="1:8" hidden="1" x14ac:dyDescent="0.3">
      <c r="A100" t="s">
        <v>302</v>
      </c>
      <c r="B100" t="b">
        <v>0</v>
      </c>
      <c r="C100">
        <v>45</v>
      </c>
      <c r="D100">
        <v>75</v>
      </c>
      <c r="H100" t="s">
        <v>317</v>
      </c>
    </row>
    <row r="101" spans="1:8" hidden="1" x14ac:dyDescent="0.3">
      <c r="A101" t="s">
        <v>200</v>
      </c>
      <c r="B101" t="b">
        <v>0</v>
      </c>
      <c r="C101">
        <v>40</v>
      </c>
      <c r="D101">
        <v>80</v>
      </c>
      <c r="H101" t="s">
        <v>317</v>
      </c>
    </row>
    <row r="102" spans="1:8" hidden="1" x14ac:dyDescent="0.3">
      <c r="A102" t="s">
        <v>205</v>
      </c>
      <c r="B102" t="b">
        <v>0</v>
      </c>
      <c r="C102">
        <v>40</v>
      </c>
      <c r="D102">
        <v>80</v>
      </c>
      <c r="H102" t="s">
        <v>317</v>
      </c>
    </row>
    <row r="103" spans="1:8" hidden="1" x14ac:dyDescent="0.3">
      <c r="A103" t="s">
        <v>230</v>
      </c>
      <c r="B103" t="b">
        <v>0</v>
      </c>
      <c r="C103">
        <v>35</v>
      </c>
      <c r="D103">
        <v>80</v>
      </c>
      <c r="H103" t="s">
        <v>317</v>
      </c>
    </row>
    <row r="104" spans="1:8" hidden="1" x14ac:dyDescent="0.3">
      <c r="A104" t="s">
        <v>223</v>
      </c>
      <c r="B104" t="b">
        <v>0</v>
      </c>
      <c r="C104">
        <v>50</v>
      </c>
      <c r="D104">
        <v>90</v>
      </c>
      <c r="H104" t="s">
        <v>317</v>
      </c>
    </row>
    <row r="105" spans="1:8" hidden="1" x14ac:dyDescent="0.3">
      <c r="A105" t="s">
        <v>228</v>
      </c>
      <c r="B105" t="b">
        <v>0</v>
      </c>
      <c r="C105">
        <v>40</v>
      </c>
      <c r="D105">
        <v>90</v>
      </c>
      <c r="H105" t="s">
        <v>317</v>
      </c>
    </row>
    <row r="106" spans="1:8" hidden="1" x14ac:dyDescent="0.3">
      <c r="A106" t="s">
        <v>249</v>
      </c>
      <c r="B106" t="b">
        <v>0</v>
      </c>
      <c r="C106">
        <v>50</v>
      </c>
      <c r="D106">
        <v>90</v>
      </c>
      <c r="H106" t="s">
        <v>317</v>
      </c>
    </row>
    <row r="107" spans="1:8" hidden="1" x14ac:dyDescent="0.3">
      <c r="A107" t="s">
        <v>260</v>
      </c>
      <c r="B107" t="b">
        <v>0</v>
      </c>
      <c r="C107">
        <v>50</v>
      </c>
      <c r="D107">
        <v>90</v>
      </c>
      <c r="H107" t="s">
        <v>317</v>
      </c>
    </row>
    <row r="108" spans="1:8" hidden="1" x14ac:dyDescent="0.3">
      <c r="A108" t="s">
        <v>307</v>
      </c>
      <c r="B108" t="b">
        <v>0</v>
      </c>
      <c r="C108">
        <v>60</v>
      </c>
      <c r="D108">
        <v>90</v>
      </c>
      <c r="H108" t="s">
        <v>317</v>
      </c>
    </row>
    <row r="109" spans="1:8" hidden="1" x14ac:dyDescent="0.3">
      <c r="A109" t="s">
        <v>308</v>
      </c>
      <c r="B109" t="b">
        <v>0</v>
      </c>
      <c r="C109">
        <v>60</v>
      </c>
      <c r="D109">
        <v>90</v>
      </c>
      <c r="H109" t="s">
        <v>317</v>
      </c>
    </row>
    <row r="110" spans="1:8" hidden="1" x14ac:dyDescent="0.3">
      <c r="A110" t="s">
        <v>180</v>
      </c>
      <c r="B110" t="b">
        <v>0</v>
      </c>
      <c r="C110">
        <v>65</v>
      </c>
      <c r="D110">
        <v>105</v>
      </c>
      <c r="H110" t="s">
        <v>317</v>
      </c>
    </row>
    <row r="111" spans="1:8" hidden="1" x14ac:dyDescent="0.3">
      <c r="A111" t="s">
        <v>185</v>
      </c>
      <c r="B111" t="b">
        <v>0</v>
      </c>
      <c r="C111">
        <v>55</v>
      </c>
      <c r="D111">
        <v>105</v>
      </c>
      <c r="H111" t="s">
        <v>317</v>
      </c>
    </row>
    <row r="112" spans="1:8" hidden="1" x14ac:dyDescent="0.3">
      <c r="A112" t="s">
        <v>193</v>
      </c>
      <c r="B112" t="b">
        <v>0</v>
      </c>
      <c r="C112">
        <v>55</v>
      </c>
      <c r="D112">
        <v>105</v>
      </c>
      <c r="H112" t="s">
        <v>317</v>
      </c>
    </row>
    <row r="113" spans="1:8" hidden="1" x14ac:dyDescent="0.3">
      <c r="A113" t="s">
        <v>252</v>
      </c>
      <c r="B113" t="b">
        <v>0</v>
      </c>
      <c r="C113">
        <v>55</v>
      </c>
      <c r="D113">
        <v>105</v>
      </c>
      <c r="H113" t="s">
        <v>317</v>
      </c>
    </row>
    <row r="114" spans="1:8" hidden="1" x14ac:dyDescent="0.3">
      <c r="A114" t="s">
        <v>263</v>
      </c>
      <c r="B114" t="b">
        <v>0</v>
      </c>
      <c r="C114">
        <v>55</v>
      </c>
      <c r="D114">
        <v>105</v>
      </c>
      <c r="H114" t="s">
        <v>317</v>
      </c>
    </row>
    <row r="115" spans="1:8" hidden="1" x14ac:dyDescent="0.3">
      <c r="A115" t="s">
        <v>224</v>
      </c>
      <c r="B115" t="b">
        <v>0</v>
      </c>
      <c r="C115">
        <v>60</v>
      </c>
      <c r="D115">
        <v>120</v>
      </c>
      <c r="H115" t="s">
        <v>317</v>
      </c>
    </row>
    <row r="116" spans="1:8" hidden="1" x14ac:dyDescent="0.3">
      <c r="A116" t="s">
        <v>247</v>
      </c>
      <c r="B116" t="b">
        <v>0</v>
      </c>
      <c r="C116">
        <v>70</v>
      </c>
      <c r="D116">
        <v>120</v>
      </c>
      <c r="H116" t="s">
        <v>317</v>
      </c>
    </row>
    <row r="117" spans="1:8" hidden="1" x14ac:dyDescent="0.3">
      <c r="A117" t="s">
        <v>250</v>
      </c>
      <c r="B117" t="b">
        <v>0</v>
      </c>
      <c r="C117">
        <v>60</v>
      </c>
      <c r="D117">
        <v>120</v>
      </c>
      <c r="H117" t="s">
        <v>317</v>
      </c>
    </row>
    <row r="118" spans="1:8" hidden="1" x14ac:dyDescent="0.3">
      <c r="A118" t="s">
        <v>259</v>
      </c>
      <c r="B118" t="b">
        <v>0</v>
      </c>
      <c r="C118">
        <v>70</v>
      </c>
      <c r="D118">
        <v>120</v>
      </c>
      <c r="H118" t="s">
        <v>317</v>
      </c>
    </row>
    <row r="119" spans="1:8" hidden="1" x14ac:dyDescent="0.3">
      <c r="A119" t="s">
        <v>261</v>
      </c>
      <c r="B119" t="b">
        <v>0</v>
      </c>
      <c r="C119">
        <v>60</v>
      </c>
      <c r="D119">
        <v>120</v>
      </c>
      <c r="H119" t="s">
        <v>317</v>
      </c>
    </row>
    <row r="120" spans="1:8" x14ac:dyDescent="0.3">
      <c r="A120" t="s">
        <v>275</v>
      </c>
      <c r="B120" t="b">
        <v>1</v>
      </c>
      <c r="C120">
        <v>60</v>
      </c>
      <c r="D120">
        <v>120</v>
      </c>
      <c r="E120">
        <v>4</v>
      </c>
      <c r="F120">
        <v>30</v>
      </c>
      <c r="G120">
        <v>40</v>
      </c>
    </row>
    <row r="121" spans="1:8" hidden="1" x14ac:dyDescent="0.3">
      <c r="A121" t="s">
        <v>303</v>
      </c>
      <c r="B121" t="b">
        <v>0</v>
      </c>
      <c r="C121">
        <v>60</v>
      </c>
      <c r="D121">
        <v>120</v>
      </c>
      <c r="H121" t="s">
        <v>317</v>
      </c>
    </row>
    <row r="122" spans="1:8" hidden="1" x14ac:dyDescent="0.3">
      <c r="A122" t="s">
        <v>300</v>
      </c>
      <c r="B122" t="b">
        <v>0</v>
      </c>
      <c r="C122">
        <v>75</v>
      </c>
      <c r="D122">
        <v>135</v>
      </c>
      <c r="H122" t="s">
        <v>317</v>
      </c>
    </row>
    <row r="123" spans="1:8" hidden="1" x14ac:dyDescent="0.3">
      <c r="A123" t="s">
        <v>280</v>
      </c>
      <c r="B123" t="b">
        <v>0</v>
      </c>
      <c r="C123">
        <v>60</v>
      </c>
      <c r="D123">
        <v>150</v>
      </c>
      <c r="H123" t="s">
        <v>317</v>
      </c>
    </row>
    <row r="124" spans="1:8" hidden="1" x14ac:dyDescent="0.3">
      <c r="A124" t="s">
        <v>309</v>
      </c>
      <c r="B124" t="b">
        <v>0</v>
      </c>
      <c r="C124">
        <v>120</v>
      </c>
      <c r="D124">
        <v>180</v>
      </c>
      <c r="H124" t="s">
        <v>317</v>
      </c>
    </row>
  </sheetData>
  <autoFilter ref="A1:H124" xr:uid="{473EBFCD-D42D-412B-8E25-A762E06CBF2F}">
    <filterColumn colId="1">
      <filters>
        <filter val="TRUE"/>
      </filters>
    </filterColumn>
    <sortState xmlns:xlrd2="http://schemas.microsoft.com/office/spreadsheetml/2017/richdata2" ref="A2:H124">
      <sortCondition ref="D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BC9F7-42E1-4131-A20B-D55AA87974D3}">
  <dimension ref="A1"/>
  <sheetViews>
    <sheetView topLeftCell="A4" workbookViewId="0">
      <selection activeCell="F43" sqref="F43:F4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2F16E-ABB8-42B9-8872-AED4E45F0FF4}">
  <dimension ref="K5:U51"/>
  <sheetViews>
    <sheetView workbookViewId="0">
      <selection activeCell="O50" sqref="O50"/>
    </sheetView>
  </sheetViews>
  <sheetFormatPr defaultRowHeight="14.4" x14ac:dyDescent="0.3"/>
  <cols>
    <col min="11" max="11" width="85.77734375" bestFit="1" customWidth="1"/>
    <col min="21" max="21" width="85.77734375" bestFit="1" customWidth="1"/>
  </cols>
  <sheetData>
    <row r="5" spans="11:21" x14ac:dyDescent="0.3">
      <c r="K5" t="s">
        <v>20</v>
      </c>
      <c r="U5" t="s">
        <v>61</v>
      </c>
    </row>
    <row r="6" spans="11:21" x14ac:dyDescent="0.3">
      <c r="K6" t="s">
        <v>21</v>
      </c>
      <c r="U6" t="s">
        <v>62</v>
      </c>
    </row>
    <row r="7" spans="11:21" x14ac:dyDescent="0.3">
      <c r="K7" t="s">
        <v>22</v>
      </c>
      <c r="U7" t="s">
        <v>22</v>
      </c>
    </row>
    <row r="8" spans="11:21" x14ac:dyDescent="0.3">
      <c r="K8" t="s">
        <v>23</v>
      </c>
      <c r="U8" t="s">
        <v>63</v>
      </c>
    </row>
    <row r="9" spans="11:21" x14ac:dyDescent="0.3">
      <c r="K9" t="s">
        <v>24</v>
      </c>
      <c r="U9" t="s">
        <v>24</v>
      </c>
    </row>
    <row r="10" spans="11:21" x14ac:dyDescent="0.3">
      <c r="K10" t="s">
        <v>25</v>
      </c>
      <c r="U10" t="s">
        <v>25</v>
      </c>
    </row>
    <row r="11" spans="11:21" x14ac:dyDescent="0.3">
      <c r="K11" t="s">
        <v>26</v>
      </c>
      <c r="U11" t="s">
        <v>26</v>
      </c>
    </row>
    <row r="12" spans="11:21" x14ac:dyDescent="0.3">
      <c r="K12" t="s">
        <v>27</v>
      </c>
      <c r="U12" t="s">
        <v>64</v>
      </c>
    </row>
    <row r="13" spans="11:21" x14ac:dyDescent="0.3">
      <c r="K13" t="s">
        <v>28</v>
      </c>
      <c r="U13" t="s">
        <v>65</v>
      </c>
    </row>
    <row r="14" spans="11:21" x14ac:dyDescent="0.3">
      <c r="K14" t="s">
        <v>29</v>
      </c>
      <c r="U14" t="s">
        <v>66</v>
      </c>
    </row>
    <row r="15" spans="11:21" x14ac:dyDescent="0.3">
      <c r="K15" t="s">
        <v>30</v>
      </c>
    </row>
    <row r="16" spans="11:21" x14ac:dyDescent="0.3">
      <c r="K16" t="s">
        <v>31</v>
      </c>
      <c r="U16" t="s">
        <v>32</v>
      </c>
    </row>
    <row r="17" spans="11:21" x14ac:dyDescent="0.3">
      <c r="U17" t="s">
        <v>67</v>
      </c>
    </row>
    <row r="18" spans="11:21" x14ac:dyDescent="0.3">
      <c r="K18" t="s">
        <v>32</v>
      </c>
    </row>
    <row r="19" spans="11:21" x14ac:dyDescent="0.3">
      <c r="K19" t="s">
        <v>33</v>
      </c>
      <c r="U19" t="s">
        <v>68</v>
      </c>
    </row>
    <row r="20" spans="11:21" x14ac:dyDescent="0.3">
      <c r="U20" t="s">
        <v>69</v>
      </c>
    </row>
    <row r="21" spans="11:21" x14ac:dyDescent="0.3">
      <c r="K21" t="s">
        <v>34</v>
      </c>
      <c r="U21" t="s">
        <v>70</v>
      </c>
    </row>
    <row r="22" spans="11:21" x14ac:dyDescent="0.3">
      <c r="K22" t="s">
        <v>35</v>
      </c>
      <c r="U22" t="s">
        <v>71</v>
      </c>
    </row>
    <row r="23" spans="11:21" x14ac:dyDescent="0.3">
      <c r="K23" t="s">
        <v>36</v>
      </c>
      <c r="U23" t="s">
        <v>72</v>
      </c>
    </row>
    <row r="24" spans="11:21" x14ac:dyDescent="0.3">
      <c r="K24" t="s">
        <v>37</v>
      </c>
      <c r="U24" t="s">
        <v>73</v>
      </c>
    </row>
    <row r="25" spans="11:21" x14ac:dyDescent="0.3">
      <c r="K25" t="s">
        <v>38</v>
      </c>
      <c r="U25" t="s">
        <v>74</v>
      </c>
    </row>
    <row r="26" spans="11:21" x14ac:dyDescent="0.3">
      <c r="K26" t="s">
        <v>39</v>
      </c>
      <c r="U26" t="s">
        <v>75</v>
      </c>
    </row>
    <row r="27" spans="11:21" x14ac:dyDescent="0.3">
      <c r="K27" t="s">
        <v>40</v>
      </c>
      <c r="U27" t="s">
        <v>76</v>
      </c>
    </row>
    <row r="28" spans="11:21" x14ac:dyDescent="0.3">
      <c r="K28" t="s">
        <v>41</v>
      </c>
    </row>
    <row r="29" spans="11:21" x14ac:dyDescent="0.3">
      <c r="K29" t="s">
        <v>42</v>
      </c>
      <c r="U29" t="s">
        <v>46</v>
      </c>
    </row>
    <row r="30" spans="11:21" x14ac:dyDescent="0.3">
      <c r="K30" t="s">
        <v>43</v>
      </c>
      <c r="U30" t="s">
        <v>47</v>
      </c>
    </row>
    <row r="31" spans="11:21" x14ac:dyDescent="0.3">
      <c r="K31" t="s">
        <v>44</v>
      </c>
      <c r="U31" t="s">
        <v>48</v>
      </c>
    </row>
    <row r="32" spans="11:21" x14ac:dyDescent="0.3">
      <c r="K32" t="s">
        <v>45</v>
      </c>
      <c r="U32" t="s">
        <v>49</v>
      </c>
    </row>
    <row r="34" spans="11:21" x14ac:dyDescent="0.3">
      <c r="K34" t="s">
        <v>46</v>
      </c>
      <c r="U34" t="s">
        <v>50</v>
      </c>
    </row>
    <row r="35" spans="11:21" x14ac:dyDescent="0.3">
      <c r="K35" t="s">
        <v>47</v>
      </c>
      <c r="U35" t="s">
        <v>51</v>
      </c>
    </row>
    <row r="36" spans="11:21" x14ac:dyDescent="0.3">
      <c r="K36" t="s">
        <v>48</v>
      </c>
      <c r="U36" t="s">
        <v>52</v>
      </c>
    </row>
    <row r="37" spans="11:21" x14ac:dyDescent="0.3">
      <c r="K37" t="s">
        <v>49</v>
      </c>
    </row>
    <row r="38" spans="11:21" x14ac:dyDescent="0.3">
      <c r="U38" t="s">
        <v>53</v>
      </c>
    </row>
    <row r="39" spans="11:21" x14ac:dyDescent="0.3">
      <c r="K39" t="s">
        <v>50</v>
      </c>
      <c r="U39" t="s">
        <v>54</v>
      </c>
    </row>
    <row r="40" spans="11:21" x14ac:dyDescent="0.3">
      <c r="K40" t="s">
        <v>51</v>
      </c>
      <c r="U40" t="s">
        <v>55</v>
      </c>
    </row>
    <row r="41" spans="11:21" x14ac:dyDescent="0.3">
      <c r="K41" t="s">
        <v>52</v>
      </c>
      <c r="U41" t="s">
        <v>56</v>
      </c>
    </row>
    <row r="43" spans="11:21" x14ac:dyDescent="0.3">
      <c r="K43" t="s">
        <v>53</v>
      </c>
      <c r="U43" t="s">
        <v>60</v>
      </c>
    </row>
    <row r="44" spans="11:21" x14ac:dyDescent="0.3">
      <c r="K44" t="s">
        <v>54</v>
      </c>
    </row>
    <row r="45" spans="11:21" x14ac:dyDescent="0.3">
      <c r="K45" t="s">
        <v>55</v>
      </c>
    </row>
    <row r="46" spans="11:21" x14ac:dyDescent="0.3">
      <c r="K46" t="s">
        <v>56</v>
      </c>
    </row>
    <row r="47" spans="11:21" x14ac:dyDescent="0.3">
      <c r="K47" t="s">
        <v>57</v>
      </c>
    </row>
    <row r="48" spans="11:21" x14ac:dyDescent="0.3">
      <c r="K48" t="s">
        <v>58</v>
      </c>
    </row>
    <row r="49" spans="11:11" x14ac:dyDescent="0.3">
      <c r="K49" t="s">
        <v>59</v>
      </c>
    </row>
    <row r="51" spans="11:11" x14ac:dyDescent="0.3">
      <c r="K51" t="s">
        <v>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1D08-4932-4E44-BD71-876668580D66}">
  <dimension ref="M10:M48"/>
  <sheetViews>
    <sheetView topLeftCell="A10" workbookViewId="0">
      <selection activeCell="M52" sqref="M52"/>
    </sheetView>
  </sheetViews>
  <sheetFormatPr defaultRowHeight="14.4" x14ac:dyDescent="0.3"/>
  <cols>
    <col min="13" max="13" width="85.77734375" bestFit="1" customWidth="1"/>
  </cols>
  <sheetData>
    <row r="10" spans="13:13" x14ac:dyDescent="0.3">
      <c r="M10" t="s">
        <v>79</v>
      </c>
    </row>
    <row r="11" spans="13:13" x14ac:dyDescent="0.3">
      <c r="M11" t="s">
        <v>80</v>
      </c>
    </row>
    <row r="12" spans="13:13" x14ac:dyDescent="0.3">
      <c r="M12" t="s">
        <v>81</v>
      </c>
    </row>
    <row r="13" spans="13:13" x14ac:dyDescent="0.3">
      <c r="M13" t="s">
        <v>82</v>
      </c>
    </row>
    <row r="14" spans="13:13" x14ac:dyDescent="0.3">
      <c r="M14" t="s">
        <v>83</v>
      </c>
    </row>
    <row r="15" spans="13:13" x14ac:dyDescent="0.3">
      <c r="M15" t="s">
        <v>84</v>
      </c>
    </row>
    <row r="16" spans="13:13" x14ac:dyDescent="0.3">
      <c r="M16" t="s">
        <v>85</v>
      </c>
    </row>
    <row r="17" spans="13:13" x14ac:dyDescent="0.3">
      <c r="M17" t="s">
        <v>86</v>
      </c>
    </row>
    <row r="18" spans="13:13" x14ac:dyDescent="0.3">
      <c r="M18" t="s">
        <v>87</v>
      </c>
    </row>
    <row r="19" spans="13:13" x14ac:dyDescent="0.3">
      <c r="M19" t="s">
        <v>88</v>
      </c>
    </row>
    <row r="21" spans="13:13" x14ac:dyDescent="0.3">
      <c r="M21" t="s">
        <v>32</v>
      </c>
    </row>
    <row r="22" spans="13:13" x14ac:dyDescent="0.3">
      <c r="M22" t="s">
        <v>89</v>
      </c>
    </row>
    <row r="24" spans="13:13" x14ac:dyDescent="0.3">
      <c r="M24" t="s">
        <v>90</v>
      </c>
    </row>
    <row r="25" spans="13:13" x14ac:dyDescent="0.3">
      <c r="M25" t="s">
        <v>91</v>
      </c>
    </row>
    <row r="26" spans="13:13" x14ac:dyDescent="0.3">
      <c r="M26" t="s">
        <v>92</v>
      </c>
    </row>
    <row r="27" spans="13:13" x14ac:dyDescent="0.3">
      <c r="M27" t="s">
        <v>93</v>
      </c>
    </row>
    <row r="28" spans="13:13" x14ac:dyDescent="0.3">
      <c r="M28" t="s">
        <v>94</v>
      </c>
    </row>
    <row r="29" spans="13:13" x14ac:dyDescent="0.3">
      <c r="M29" t="s">
        <v>95</v>
      </c>
    </row>
    <row r="30" spans="13:13" x14ac:dyDescent="0.3">
      <c r="M30" t="s">
        <v>96</v>
      </c>
    </row>
    <row r="31" spans="13:13" x14ac:dyDescent="0.3">
      <c r="M31" t="s">
        <v>97</v>
      </c>
    </row>
    <row r="32" spans="13:13" x14ac:dyDescent="0.3">
      <c r="M32" t="s">
        <v>98</v>
      </c>
    </row>
    <row r="33" spans="13:13" x14ac:dyDescent="0.3">
      <c r="M33" t="s">
        <v>99</v>
      </c>
    </row>
    <row r="34" spans="13:13" x14ac:dyDescent="0.3">
      <c r="M34" t="s">
        <v>100</v>
      </c>
    </row>
    <row r="35" spans="13:13" x14ac:dyDescent="0.3">
      <c r="M35" t="s">
        <v>101</v>
      </c>
    </row>
    <row r="37" spans="13:13" x14ac:dyDescent="0.3">
      <c r="M37" t="s">
        <v>46</v>
      </c>
    </row>
    <row r="38" spans="13:13" x14ac:dyDescent="0.3">
      <c r="M38" t="s">
        <v>102</v>
      </c>
    </row>
    <row r="39" spans="13:13" x14ac:dyDescent="0.3">
      <c r="M39" t="s">
        <v>103</v>
      </c>
    </row>
    <row r="40" spans="13:13" x14ac:dyDescent="0.3">
      <c r="M40" t="s">
        <v>104</v>
      </c>
    </row>
    <row r="42" spans="13:13" x14ac:dyDescent="0.3">
      <c r="M42" t="s">
        <v>53</v>
      </c>
    </row>
    <row r="43" spans="13:13" x14ac:dyDescent="0.3">
      <c r="M43" t="s">
        <v>105</v>
      </c>
    </row>
    <row r="44" spans="13:13" x14ac:dyDescent="0.3">
      <c r="M44" t="s">
        <v>106</v>
      </c>
    </row>
    <row r="45" spans="13:13" x14ac:dyDescent="0.3">
      <c r="M45" t="s">
        <v>107</v>
      </c>
    </row>
    <row r="46" spans="13:13" x14ac:dyDescent="0.3">
      <c r="M46" t="s">
        <v>108</v>
      </c>
    </row>
    <row r="48" spans="13:13" x14ac:dyDescent="0.3">
      <c r="M48" t="s">
        <v>60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02506-DFB9-4A49-99FC-F98F7F1490DD}">
  <dimension ref="M5:M67"/>
  <sheetViews>
    <sheetView topLeftCell="A4" workbookViewId="0">
      <selection activeCell="M30" sqref="M30"/>
    </sheetView>
  </sheetViews>
  <sheetFormatPr defaultRowHeight="14.4" x14ac:dyDescent="0.3"/>
  <cols>
    <col min="13" max="13" width="154.33203125" bestFit="1" customWidth="1"/>
  </cols>
  <sheetData>
    <row r="5" spans="13:13" x14ac:dyDescent="0.3">
      <c r="M5" t="s">
        <v>109</v>
      </c>
    </row>
    <row r="6" spans="13:13" x14ac:dyDescent="0.3">
      <c r="M6" t="s">
        <v>110</v>
      </c>
    </row>
    <row r="7" spans="13:13" x14ac:dyDescent="0.3">
      <c r="M7" t="s">
        <v>111</v>
      </c>
    </row>
    <row r="8" spans="13:13" x14ac:dyDescent="0.3">
      <c r="M8" t="s">
        <v>112</v>
      </c>
    </row>
    <row r="9" spans="13:13" x14ac:dyDescent="0.3">
      <c r="M9" t="s">
        <v>113</v>
      </c>
    </row>
    <row r="10" spans="13:13" x14ac:dyDescent="0.3">
      <c r="M10" t="s">
        <v>114</v>
      </c>
    </row>
    <row r="11" spans="13:13" x14ac:dyDescent="0.3">
      <c r="M11" t="s">
        <v>115</v>
      </c>
    </row>
    <row r="12" spans="13:13" x14ac:dyDescent="0.3">
      <c r="M12" t="s">
        <v>116</v>
      </c>
    </row>
    <row r="13" spans="13:13" x14ac:dyDescent="0.3">
      <c r="M13" t="s">
        <v>117</v>
      </c>
    </row>
    <row r="14" spans="13:13" x14ac:dyDescent="0.3">
      <c r="M14" t="s">
        <v>118</v>
      </c>
    </row>
    <row r="15" spans="13:13" x14ac:dyDescent="0.3">
      <c r="M15" t="s">
        <v>119</v>
      </c>
    </row>
    <row r="16" spans="13:13" x14ac:dyDescent="0.3">
      <c r="M16" t="s">
        <v>120</v>
      </c>
    </row>
    <row r="17" spans="13:13" x14ac:dyDescent="0.3">
      <c r="M17" t="s">
        <v>121</v>
      </c>
    </row>
    <row r="18" spans="13:13" x14ac:dyDescent="0.3">
      <c r="M18" t="s">
        <v>122</v>
      </c>
    </row>
    <row r="20" spans="13:13" x14ac:dyDescent="0.3">
      <c r="M20" t="s">
        <v>32</v>
      </c>
    </row>
    <row r="21" spans="13:13" x14ac:dyDescent="0.3">
      <c r="M21" t="s">
        <v>123</v>
      </c>
    </row>
    <row r="23" spans="13:13" x14ac:dyDescent="0.3">
      <c r="M23" t="s">
        <v>124</v>
      </c>
    </row>
    <row r="24" spans="13:13" x14ac:dyDescent="0.3">
      <c r="M24" t="s">
        <v>125</v>
      </c>
    </row>
    <row r="25" spans="13:13" x14ac:dyDescent="0.3">
      <c r="M25" t="s">
        <v>126</v>
      </c>
    </row>
    <row r="26" spans="13:13" x14ac:dyDescent="0.3">
      <c r="M26" t="s">
        <v>127</v>
      </c>
    </row>
    <row r="27" spans="13:13" x14ac:dyDescent="0.3">
      <c r="M27" t="s">
        <v>128</v>
      </c>
    </row>
    <row r="28" spans="13:13" x14ac:dyDescent="0.3">
      <c r="M28" t="s">
        <v>129</v>
      </c>
    </row>
    <row r="29" spans="13:13" x14ac:dyDescent="0.3">
      <c r="M29" t="s">
        <v>130</v>
      </c>
    </row>
    <row r="30" spans="13:13" x14ac:dyDescent="0.3">
      <c r="M30" t="s">
        <v>131</v>
      </c>
    </row>
    <row r="31" spans="13:13" x14ac:dyDescent="0.3">
      <c r="M31" t="s">
        <v>132</v>
      </c>
    </row>
    <row r="32" spans="13:13" x14ac:dyDescent="0.3">
      <c r="M32" t="s">
        <v>133</v>
      </c>
    </row>
    <row r="33" spans="13:13" x14ac:dyDescent="0.3">
      <c r="M33" t="s">
        <v>134</v>
      </c>
    </row>
    <row r="34" spans="13:13" x14ac:dyDescent="0.3">
      <c r="M34" t="s">
        <v>135</v>
      </c>
    </row>
    <row r="35" spans="13:13" x14ac:dyDescent="0.3">
      <c r="M35" t="s">
        <v>136</v>
      </c>
    </row>
    <row r="36" spans="13:13" x14ac:dyDescent="0.3">
      <c r="M36" t="s">
        <v>137</v>
      </c>
    </row>
    <row r="37" spans="13:13" x14ac:dyDescent="0.3">
      <c r="M37" t="s">
        <v>138</v>
      </c>
    </row>
    <row r="38" spans="13:13" x14ac:dyDescent="0.3">
      <c r="M38" t="s">
        <v>139</v>
      </c>
    </row>
    <row r="39" spans="13:13" x14ac:dyDescent="0.3">
      <c r="M39" t="s">
        <v>140</v>
      </c>
    </row>
    <row r="40" spans="13:13" x14ac:dyDescent="0.3">
      <c r="M40" t="s">
        <v>141</v>
      </c>
    </row>
    <row r="41" spans="13:13" x14ac:dyDescent="0.3">
      <c r="M41" t="s">
        <v>142</v>
      </c>
    </row>
    <row r="42" spans="13:13" x14ac:dyDescent="0.3">
      <c r="M42" t="s">
        <v>143</v>
      </c>
    </row>
    <row r="43" spans="13:13" x14ac:dyDescent="0.3">
      <c r="M43" t="s">
        <v>144</v>
      </c>
    </row>
    <row r="44" spans="13:13" x14ac:dyDescent="0.3">
      <c r="M44" t="s">
        <v>145</v>
      </c>
    </row>
    <row r="45" spans="13:13" x14ac:dyDescent="0.3">
      <c r="M45" t="s">
        <v>146</v>
      </c>
    </row>
    <row r="46" spans="13:13" x14ac:dyDescent="0.3">
      <c r="M46" t="s">
        <v>147</v>
      </c>
    </row>
    <row r="48" spans="13:13" x14ac:dyDescent="0.3">
      <c r="M48" t="s">
        <v>46</v>
      </c>
    </row>
    <row r="49" spans="13:13" x14ac:dyDescent="0.3">
      <c r="M49" t="s">
        <v>148</v>
      </c>
    </row>
    <row r="50" spans="13:13" x14ac:dyDescent="0.3">
      <c r="M50" t="s">
        <v>149</v>
      </c>
    </row>
    <row r="51" spans="13:13" x14ac:dyDescent="0.3">
      <c r="M51" t="s">
        <v>150</v>
      </c>
    </row>
    <row r="52" spans="13:13" x14ac:dyDescent="0.3">
      <c r="M52" t="s">
        <v>151</v>
      </c>
    </row>
    <row r="53" spans="13:13" x14ac:dyDescent="0.3">
      <c r="M53" t="s">
        <v>48</v>
      </c>
    </row>
    <row r="54" spans="13:13" x14ac:dyDescent="0.3">
      <c r="M54" t="s">
        <v>152</v>
      </c>
    </row>
    <row r="55" spans="13:13" x14ac:dyDescent="0.3">
      <c r="M55" t="s">
        <v>104</v>
      </c>
    </row>
    <row r="57" spans="13:13" x14ac:dyDescent="0.3">
      <c r="M57" t="s">
        <v>53</v>
      </c>
    </row>
    <row r="58" spans="13:13" x14ac:dyDescent="0.3">
      <c r="M58" t="s">
        <v>153</v>
      </c>
    </row>
    <row r="59" spans="13:13" x14ac:dyDescent="0.3">
      <c r="M59" t="s">
        <v>154</v>
      </c>
    </row>
    <row r="60" spans="13:13" x14ac:dyDescent="0.3">
      <c r="M60" t="s">
        <v>155</v>
      </c>
    </row>
    <row r="61" spans="13:13" x14ac:dyDescent="0.3">
      <c r="M61" t="s">
        <v>156</v>
      </c>
    </row>
    <row r="62" spans="13:13" x14ac:dyDescent="0.3">
      <c r="M62" t="s">
        <v>157</v>
      </c>
    </row>
    <row r="63" spans="13:13" x14ac:dyDescent="0.3">
      <c r="M63" t="s">
        <v>158</v>
      </c>
    </row>
    <row r="64" spans="13:13" x14ac:dyDescent="0.3">
      <c r="M64" t="s">
        <v>159</v>
      </c>
    </row>
    <row r="65" spans="13:13" x14ac:dyDescent="0.3">
      <c r="M65" t="s">
        <v>160</v>
      </c>
    </row>
    <row r="67" spans="13:13" x14ac:dyDescent="0.3">
      <c r="M67" t="s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Eulerian Objects</vt:lpstr>
      <vt:lpstr>Cycle_decomp</vt:lpstr>
      <vt:lpstr>cycle_decomp_unqique</vt:lpstr>
      <vt:lpstr>heart</vt:lpstr>
      <vt:lpstr>Cube two taps</vt:lpstr>
      <vt:lpstr>Octahedron</vt:lpstr>
      <vt:lpstr>Cuboctahedron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tboes</dc:creator>
  <cp:lastModifiedBy>tboes</cp:lastModifiedBy>
  <dcterms:created xsi:type="dcterms:W3CDTF">2025-09-26T17:34:02Z</dcterms:created>
  <dcterms:modified xsi:type="dcterms:W3CDTF">2025-12-21T22:19:06Z</dcterms:modified>
</cp:coreProperties>
</file>